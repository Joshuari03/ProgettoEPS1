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edoar\Desktop\UNI\A.A. 2025-2026\ELECTRIC POWER SYSTEM\progetto\ProgettoEPS1\"/>
    </mc:Choice>
  </mc:AlternateContent>
  <xr:revisionPtr revIDLastSave="0" documentId="13_ncr:1_{4569C35A-F06C-49F7-B215-D7446587AB32}" xr6:coauthVersionLast="47" xr6:coauthVersionMax="47" xr10:uidLastSave="{00000000-0000-0000-0000-000000000000}"/>
  <bookViews>
    <workbookView xWindow="-110" yWindow="-110" windowWidth="19420" windowHeight="11500" activeTab="7" xr2:uid="{00000000-000D-0000-FFFF-FFFF00000000}"/>
  </bookViews>
  <sheets>
    <sheet name="Bus" sheetId="1" r:id="rId1"/>
    <sheet name="Generators" sheetId="2" r:id="rId2"/>
    <sheet name="Branches" sheetId="3" r:id="rId3"/>
    <sheet name="Shunt capacitors" sheetId="4" r:id="rId4"/>
    <sheet name="PF results (NR)" sheetId="5" r:id="rId5"/>
    <sheet name="Sensitività" sheetId="6" r:id="rId6"/>
    <sheet name="Capacitors" sheetId="7" r:id="rId7"/>
    <sheet name="Iterazioni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7" l="1"/>
  <c r="H12" i="7"/>
  <c r="G12" i="7"/>
  <c r="H10" i="7"/>
  <c r="G8" i="7"/>
  <c r="G9" i="7"/>
  <c r="G10" i="7"/>
  <c r="G11" i="7"/>
  <c r="G7" i="7"/>
  <c r="C24" i="6"/>
  <c r="C25" i="6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23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7" i="6"/>
</calcChain>
</file>

<file path=xl/sharedStrings.xml><?xml version="1.0" encoding="utf-8"?>
<sst xmlns="http://schemas.openxmlformats.org/spreadsheetml/2006/main" count="603" uniqueCount="116">
  <si>
    <t>Node</t>
  </si>
  <si>
    <t>Type</t>
  </si>
  <si>
    <t>P_load [MW]</t>
  </si>
  <si>
    <t>Q_load [Mvar]</t>
  </si>
  <si>
    <t>V [pu]</t>
  </si>
  <si>
    <t>Vn [kV]</t>
  </si>
  <si>
    <t>Vmin [pu]</t>
  </si>
  <si>
    <t>Vmax [pu]</t>
  </si>
  <si>
    <t>Bus</t>
  </si>
  <si>
    <t>PV</t>
  </si>
  <si>
    <t>SLACK</t>
  </si>
  <si>
    <t>PQ</t>
  </si>
  <si>
    <t>Generator</t>
  </si>
  <si>
    <t>Pgen [MW]</t>
  </si>
  <si>
    <t>***</t>
  </si>
  <si>
    <t>Pmin [MW]</t>
  </si>
  <si>
    <t>Pmax [MW]</t>
  </si>
  <si>
    <t>From_node</t>
  </si>
  <si>
    <t>To_node</t>
  </si>
  <si>
    <t>R [pu]</t>
  </si>
  <si>
    <t>X [pu]</t>
  </si>
  <si>
    <t>B [pu]</t>
  </si>
  <si>
    <t>G [pu]</t>
  </si>
  <si>
    <t>Thermal limit [MVA]</t>
  </si>
  <si>
    <t>Phase shifter angle [deg]</t>
  </si>
  <si>
    <t>Transformer</t>
  </si>
  <si>
    <t>Line</t>
  </si>
  <si>
    <t>Type of controller</t>
  </si>
  <si>
    <t>PS</t>
  </si>
  <si>
    <t>AVR</t>
  </si>
  <si>
    <t>-</t>
  </si>
  <si>
    <t>Nominal Mvar [Mvar]</t>
  </si>
  <si>
    <t>Status</t>
  </si>
  <si>
    <t>OFF</t>
  </si>
  <si>
    <t>angle [deg]</t>
  </si>
  <si>
    <t>Off-nominal Tap Ratio [pu]</t>
  </si>
  <si>
    <r>
      <t>α [€/MW</t>
    </r>
    <r>
      <rPr>
        <b/>
        <vertAlign val="superscript"/>
        <sz val="11"/>
        <color theme="1"/>
        <rFont val="Aptos Narrow"/>
        <family val="2"/>
      </rPr>
      <t>2</t>
    </r>
    <r>
      <rPr>
        <b/>
        <sz val="11"/>
        <color theme="1"/>
        <rFont val="Aptos Narrow"/>
        <family val="2"/>
      </rPr>
      <t>]</t>
    </r>
  </si>
  <si>
    <t>β [€/MW]</t>
  </si>
  <si>
    <t>γ [€]</t>
  </si>
  <si>
    <t>Qmin [Mvar]</t>
  </si>
  <si>
    <t>Qmax [Mvar]</t>
  </si>
  <si>
    <t>Step</t>
  </si>
  <si>
    <t>Step min</t>
  </si>
  <si>
    <t>Step max</t>
  </si>
  <si>
    <t>From</t>
  </si>
  <si>
    <t>4_7</t>
  </si>
  <si>
    <t>4_9</t>
  </si>
  <si>
    <t>5_6</t>
  </si>
  <si>
    <t>To</t>
  </si>
  <si>
    <t>2_3</t>
  </si>
  <si>
    <t>Angles</t>
  </si>
  <si>
    <t>losses</t>
  </si>
  <si>
    <t>c 1</t>
  </si>
  <si>
    <t>c closed</t>
  </si>
  <si>
    <t>c2</t>
  </si>
  <si>
    <t>c3</t>
  </si>
  <si>
    <t>bus</t>
  </si>
  <si>
    <t>c1 c3</t>
  </si>
  <si>
    <t>c2 c1</t>
  </si>
  <si>
    <t>teniamo chiuso il 9 pk è lunico che diminuisce</t>
  </si>
  <si>
    <t>c2 c3</t>
  </si>
  <si>
    <t>delta</t>
  </si>
  <si>
    <t>somma δ</t>
  </si>
  <si>
    <t>valore iniziale</t>
  </si>
  <si>
    <t>Number</t>
  </si>
  <si>
    <t>Name</t>
  </si>
  <si>
    <t>Area Name</t>
  </si>
  <si>
    <t>Mismatch MW</t>
  </si>
  <si>
    <t>Mismatch Mvar</t>
  </si>
  <si>
    <t>Mismatch MVA</t>
  </si>
  <si>
    <t>bus 4</t>
  </si>
  <si>
    <t>bus 6</t>
  </si>
  <si>
    <t>bus 9</t>
  </si>
  <si>
    <t>bus 7</t>
  </si>
  <si>
    <t>bus 2</t>
  </si>
  <si>
    <t>bus 10</t>
  </si>
  <si>
    <t>bus 12</t>
  </si>
  <si>
    <t>3 bus</t>
  </si>
  <si>
    <t>bus 13</t>
  </si>
  <si>
    <t>bus 5</t>
  </si>
  <si>
    <t>bus 8</t>
  </si>
  <si>
    <t>bus 14</t>
  </si>
  <si>
    <t>bus 11</t>
  </si>
  <si>
    <t>1 (slack)</t>
  </si>
  <si>
    <t>Slack</t>
  </si>
  <si>
    <t>Nom kV</t>
  </si>
  <si>
    <t>Angle (Deg)</t>
  </si>
  <si>
    <t>Gen MW</t>
  </si>
  <si>
    <t>Load MW</t>
  </si>
  <si>
    <t>Dist MW</t>
  </si>
  <si>
    <t>Act G Shunt MW</t>
  </si>
  <si>
    <t>Area Num</t>
  </si>
  <si>
    <t>Zone Num</t>
  </si>
  <si>
    <t>PU Volt</t>
  </si>
  <si>
    <t>Volt (kV)</t>
  </si>
  <si>
    <t>Gen Mvar</t>
  </si>
  <si>
    <t>Load Mvar</t>
  </si>
  <si>
    <t>Dist Mvar</t>
  </si>
  <si>
    <t>Switched Shunts Mvar</t>
  </si>
  <si>
    <t>Act B Shunt Mvar</t>
  </si>
  <si>
    <t>PQ (Gens at Var Limit)</t>
  </si>
  <si>
    <t>NR_1_voltage limit</t>
  </si>
  <si>
    <t>NR_50 voltage limit</t>
  </si>
  <si>
    <t xml:space="preserve">DC voltage limit </t>
  </si>
  <si>
    <t>GS_1 voltage limit</t>
  </si>
  <si>
    <t>GS_50 voltage limit</t>
  </si>
  <si>
    <t>NO CONVERGENZA</t>
  </si>
  <si>
    <t xml:space="preserve">FD_1 voltage limit </t>
  </si>
  <si>
    <t xml:space="preserve">NO CONVERGENZA </t>
  </si>
  <si>
    <t>FD_50 voltage limit</t>
  </si>
  <si>
    <t>NON converge</t>
  </si>
  <si>
    <t>no convergenza</t>
  </si>
  <si>
    <t>NR 50</t>
  </si>
  <si>
    <t>DC</t>
  </si>
  <si>
    <t>GAUSS SEIDEL 50</t>
  </si>
  <si>
    <t>FAST dec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</si>
</sst>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perscript"/>
      <sz val="11"/>
      <color theme="1"/>
      <name val="Aptos Narrow"/>
      <family val="2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2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4" fillId="0" borderId="0" xfId="0" applyFon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4" fillId="0" borderId="3" xfId="0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1617235345581804E-2"/>
                  <c:y val="-4.297900262467191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(Sensitività!$D$22:$D$36,Sensitività!$D$6:$D$21)</c:f>
              <c:numCache>
                <c:formatCode>General</c:formatCode>
                <c:ptCount val="31"/>
                <c:pt idx="0">
                  <c:v>72.8</c:v>
                </c:pt>
                <c:pt idx="1">
                  <c:v>73</c:v>
                </c:pt>
                <c:pt idx="2">
                  <c:v>73.099999999999994</c:v>
                </c:pt>
                <c:pt idx="3">
                  <c:v>73.3</c:v>
                </c:pt>
                <c:pt idx="4">
                  <c:v>73.5</c:v>
                </c:pt>
                <c:pt idx="5">
                  <c:v>73.7</c:v>
                </c:pt>
                <c:pt idx="6">
                  <c:v>73.900000000000006</c:v>
                </c:pt>
                <c:pt idx="7">
                  <c:v>74.2</c:v>
                </c:pt>
                <c:pt idx="8">
                  <c:v>74.400000000000006</c:v>
                </c:pt>
                <c:pt idx="9">
                  <c:v>74.7</c:v>
                </c:pt>
                <c:pt idx="10">
                  <c:v>75</c:v>
                </c:pt>
                <c:pt idx="11">
                  <c:v>75.3</c:v>
                </c:pt>
                <c:pt idx="12">
                  <c:v>75.599999999999994</c:v>
                </c:pt>
                <c:pt idx="13">
                  <c:v>76</c:v>
                </c:pt>
                <c:pt idx="14">
                  <c:v>76.3</c:v>
                </c:pt>
                <c:pt idx="15">
                  <c:v>72.599999999999994</c:v>
                </c:pt>
                <c:pt idx="16">
                  <c:v>72.5</c:v>
                </c:pt>
                <c:pt idx="17">
                  <c:v>72.400000000000006</c:v>
                </c:pt>
                <c:pt idx="18">
                  <c:v>72.2</c:v>
                </c:pt>
                <c:pt idx="19">
                  <c:v>72.099999999999994</c:v>
                </c:pt>
                <c:pt idx="20">
                  <c:v>72</c:v>
                </c:pt>
                <c:pt idx="21">
                  <c:v>71.900000000000006</c:v>
                </c:pt>
                <c:pt idx="22">
                  <c:v>71.8</c:v>
                </c:pt>
                <c:pt idx="23">
                  <c:v>71.7</c:v>
                </c:pt>
                <c:pt idx="24">
                  <c:v>71.7</c:v>
                </c:pt>
                <c:pt idx="25">
                  <c:v>71.599999999999994</c:v>
                </c:pt>
                <c:pt idx="26">
                  <c:v>71.599999999999994</c:v>
                </c:pt>
                <c:pt idx="27">
                  <c:v>71.599999999999994</c:v>
                </c:pt>
                <c:pt idx="28">
                  <c:v>71.7</c:v>
                </c:pt>
                <c:pt idx="29">
                  <c:v>71.7</c:v>
                </c:pt>
                <c:pt idx="30">
                  <c:v>71.8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00-40E8-9943-69C1AD907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5677999"/>
        <c:axId val="685677039"/>
      </c:scatterChart>
      <c:valAx>
        <c:axId val="68567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039"/>
        <c:crosses val="autoZero"/>
        <c:crossBetween val="midCat"/>
      </c:valAx>
      <c:valAx>
        <c:axId val="6856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(Sensitività!$E$22:$E$36,Sensitività!$E$6:$E$21)</c:f>
              <c:numCache>
                <c:formatCode>General</c:formatCode>
                <c:ptCount val="31"/>
                <c:pt idx="0">
                  <c:v>72.7</c:v>
                </c:pt>
                <c:pt idx="1">
                  <c:v>72.8</c:v>
                </c:pt>
                <c:pt idx="2">
                  <c:v>72.900000000000006</c:v>
                </c:pt>
                <c:pt idx="3">
                  <c:v>73</c:v>
                </c:pt>
                <c:pt idx="4">
                  <c:v>73.099999999999994</c:v>
                </c:pt>
                <c:pt idx="5">
                  <c:v>73.2</c:v>
                </c:pt>
                <c:pt idx="6">
                  <c:v>73.400000000000006</c:v>
                </c:pt>
                <c:pt idx="7">
                  <c:v>73.5</c:v>
                </c:pt>
                <c:pt idx="8">
                  <c:v>73.599999999999994</c:v>
                </c:pt>
                <c:pt idx="9">
                  <c:v>73.8</c:v>
                </c:pt>
                <c:pt idx="10">
                  <c:v>74</c:v>
                </c:pt>
                <c:pt idx="11">
                  <c:v>74.2</c:v>
                </c:pt>
                <c:pt idx="12">
                  <c:v>74.400000000000006</c:v>
                </c:pt>
                <c:pt idx="13">
                  <c:v>74.599999999999994</c:v>
                </c:pt>
                <c:pt idx="14">
                  <c:v>74.8</c:v>
                </c:pt>
                <c:pt idx="15">
                  <c:v>72.599999999999994</c:v>
                </c:pt>
                <c:pt idx="16">
                  <c:v>72.599999999999994</c:v>
                </c:pt>
                <c:pt idx="17">
                  <c:v>72.5</c:v>
                </c:pt>
                <c:pt idx="18">
                  <c:v>72.400000000000006</c:v>
                </c:pt>
                <c:pt idx="19">
                  <c:v>72.3</c:v>
                </c:pt>
                <c:pt idx="20">
                  <c:v>72.3</c:v>
                </c:pt>
                <c:pt idx="21">
                  <c:v>72.2</c:v>
                </c:pt>
                <c:pt idx="22">
                  <c:v>72.2</c:v>
                </c:pt>
                <c:pt idx="23">
                  <c:v>72.099999999999994</c:v>
                </c:pt>
                <c:pt idx="24">
                  <c:v>72.099999999999994</c:v>
                </c:pt>
                <c:pt idx="25">
                  <c:v>72.099999999999994</c:v>
                </c:pt>
                <c:pt idx="26">
                  <c:v>72.099999999999994</c:v>
                </c:pt>
                <c:pt idx="27">
                  <c:v>72.099999999999994</c:v>
                </c:pt>
                <c:pt idx="28">
                  <c:v>72.099999999999994</c:v>
                </c:pt>
                <c:pt idx="29">
                  <c:v>72.2</c:v>
                </c:pt>
                <c:pt idx="30">
                  <c:v>72.2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A-4E21-B1D6-E4C4CB062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422655"/>
        <c:axId val="682424095"/>
      </c:scatterChart>
      <c:valAx>
        <c:axId val="68242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4095"/>
        <c:crosses val="autoZero"/>
        <c:crossBetween val="midCat"/>
      </c:valAx>
      <c:valAx>
        <c:axId val="68242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2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5_6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(Sensitività!$F$22:$F$36,Sensitività!$F$6:$F$21)</c:f>
              <c:numCache>
                <c:formatCode>General</c:formatCode>
                <c:ptCount val="31"/>
                <c:pt idx="0">
                  <c:v>72.400000000000006</c:v>
                </c:pt>
                <c:pt idx="1">
                  <c:v>72.2</c:v>
                </c:pt>
                <c:pt idx="2">
                  <c:v>72</c:v>
                </c:pt>
                <c:pt idx="3">
                  <c:v>71.8</c:v>
                </c:pt>
                <c:pt idx="4">
                  <c:v>71.599999999999994</c:v>
                </c:pt>
                <c:pt idx="5">
                  <c:v>71.400000000000006</c:v>
                </c:pt>
                <c:pt idx="6">
                  <c:v>71.3</c:v>
                </c:pt>
                <c:pt idx="7">
                  <c:v>71.2</c:v>
                </c:pt>
                <c:pt idx="8">
                  <c:v>71</c:v>
                </c:pt>
                <c:pt idx="9">
                  <c:v>70.900000000000006</c:v>
                </c:pt>
                <c:pt idx="10">
                  <c:v>70.8</c:v>
                </c:pt>
                <c:pt idx="11">
                  <c:v>70.8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72.599999999999994</c:v>
                </c:pt>
                <c:pt idx="16">
                  <c:v>72.900000000000006</c:v>
                </c:pt>
                <c:pt idx="17">
                  <c:v>73.099999999999994</c:v>
                </c:pt>
                <c:pt idx="18">
                  <c:v>73.400000000000006</c:v>
                </c:pt>
                <c:pt idx="19">
                  <c:v>73.7</c:v>
                </c:pt>
                <c:pt idx="20">
                  <c:v>74</c:v>
                </c:pt>
                <c:pt idx="21">
                  <c:v>74.3</c:v>
                </c:pt>
                <c:pt idx="22">
                  <c:v>74.599999999999994</c:v>
                </c:pt>
                <c:pt idx="23">
                  <c:v>75</c:v>
                </c:pt>
                <c:pt idx="24">
                  <c:v>75.400000000000006</c:v>
                </c:pt>
                <c:pt idx="25">
                  <c:v>75.8</c:v>
                </c:pt>
                <c:pt idx="26">
                  <c:v>76.2</c:v>
                </c:pt>
                <c:pt idx="27">
                  <c:v>76.599999999999994</c:v>
                </c:pt>
                <c:pt idx="28">
                  <c:v>77</c:v>
                </c:pt>
                <c:pt idx="29">
                  <c:v>77.5</c:v>
                </c:pt>
                <c:pt idx="30">
                  <c:v>77.900000000000006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1F-47D2-A473-E0CD735EB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59167"/>
        <c:axId val="805860607"/>
      </c:scatterChart>
      <c:valAx>
        <c:axId val="805859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60607"/>
        <c:crosses val="autoZero"/>
        <c:crossBetween val="midCat"/>
      </c:valAx>
      <c:valAx>
        <c:axId val="80586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59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</xdr:colOff>
      <xdr:row>3</xdr:row>
      <xdr:rowOff>82550</xdr:rowOff>
    </xdr:from>
    <xdr:to>
      <xdr:col>14</xdr:col>
      <xdr:colOff>384175</xdr:colOff>
      <xdr:row>18</xdr:row>
      <xdr:rowOff>63500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DB819B-B6BA-3D03-1E92-86715B18F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98425</xdr:colOff>
      <xdr:row>19</xdr:row>
      <xdr:rowOff>50800</xdr:rowOff>
    </xdr:from>
    <xdr:to>
      <xdr:col>14</xdr:col>
      <xdr:colOff>403225</xdr:colOff>
      <xdr:row>34</xdr:row>
      <xdr:rowOff>31750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DC929FB-B0F4-16EB-B04A-06337E8FA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555625</xdr:colOff>
      <xdr:row>3</xdr:row>
      <xdr:rowOff>69850</xdr:rowOff>
    </xdr:from>
    <xdr:to>
      <xdr:col>22</xdr:col>
      <xdr:colOff>250825</xdr:colOff>
      <xdr:row>18</xdr:row>
      <xdr:rowOff>50800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2B3993F3-DF9B-F48C-FECB-1191E59F7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workbookViewId="0">
      <selection activeCell="F31" sqref="F31"/>
    </sheetView>
  </sheetViews>
  <sheetFormatPr defaultRowHeight="14.5" x14ac:dyDescent="0.35"/>
  <cols>
    <col min="3" max="3" width="12.453125" bestFit="1" customWidth="1"/>
    <col min="4" max="4" width="13.81640625" bestFit="1" customWidth="1"/>
    <col min="5" max="5" width="7.54296875" bestFit="1" customWidth="1"/>
    <col min="6" max="6" width="9.81640625" bestFit="1" customWidth="1"/>
    <col min="7" max="7" width="10.179687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</row>
    <row r="2" spans="1:7" x14ac:dyDescent="0.35">
      <c r="A2">
        <v>1</v>
      </c>
      <c r="B2" t="s">
        <v>10</v>
      </c>
      <c r="C2">
        <v>0</v>
      </c>
      <c r="D2">
        <v>0</v>
      </c>
      <c r="E2">
        <v>69</v>
      </c>
      <c r="F2">
        <v>0.94</v>
      </c>
      <c r="G2">
        <v>1.06</v>
      </c>
    </row>
    <row r="3" spans="1:7" x14ac:dyDescent="0.35">
      <c r="A3">
        <v>2</v>
      </c>
      <c r="B3" t="s">
        <v>9</v>
      </c>
      <c r="C3">
        <v>21.6999999999999</v>
      </c>
      <c r="D3">
        <v>12.6999999999999</v>
      </c>
      <c r="E3">
        <v>69</v>
      </c>
      <c r="F3">
        <v>0.94</v>
      </c>
      <c r="G3">
        <v>1.06</v>
      </c>
    </row>
    <row r="4" spans="1:7" x14ac:dyDescent="0.35">
      <c r="A4">
        <v>3</v>
      </c>
      <c r="B4" t="s">
        <v>9</v>
      </c>
      <c r="C4">
        <v>94.2</v>
      </c>
      <c r="D4">
        <v>19</v>
      </c>
      <c r="E4">
        <v>69</v>
      </c>
      <c r="F4">
        <v>0.94</v>
      </c>
      <c r="G4">
        <v>1.06</v>
      </c>
    </row>
    <row r="5" spans="1:7" x14ac:dyDescent="0.35">
      <c r="A5">
        <v>4</v>
      </c>
      <c r="B5" t="s">
        <v>11</v>
      </c>
      <c r="C5">
        <v>47.799999999999898</v>
      </c>
      <c r="D5">
        <v>-3.9</v>
      </c>
      <c r="E5">
        <v>69</v>
      </c>
      <c r="F5">
        <v>0.94</v>
      </c>
      <c r="G5">
        <v>1.06</v>
      </c>
    </row>
    <row r="6" spans="1:7" x14ac:dyDescent="0.35">
      <c r="A6">
        <v>5</v>
      </c>
      <c r="B6" t="s">
        <v>11</v>
      </c>
      <c r="C6">
        <v>7.6</v>
      </c>
      <c r="D6">
        <v>1.6</v>
      </c>
      <c r="E6">
        <v>69</v>
      </c>
      <c r="F6">
        <v>0.94</v>
      </c>
      <c r="G6">
        <v>1.06</v>
      </c>
    </row>
    <row r="7" spans="1:7" x14ac:dyDescent="0.35">
      <c r="A7">
        <v>6</v>
      </c>
      <c r="B7" t="s">
        <v>9</v>
      </c>
      <c r="C7">
        <v>11.1999999999999</v>
      </c>
      <c r="D7">
        <v>7.5</v>
      </c>
      <c r="E7">
        <v>13.8</v>
      </c>
      <c r="F7">
        <v>0.94</v>
      </c>
      <c r="G7">
        <v>1.06</v>
      </c>
    </row>
    <row r="8" spans="1:7" x14ac:dyDescent="0.35">
      <c r="A8">
        <v>7</v>
      </c>
      <c r="B8" t="s">
        <v>11</v>
      </c>
      <c r="C8">
        <v>0</v>
      </c>
      <c r="D8">
        <v>0</v>
      </c>
      <c r="E8">
        <v>13.8</v>
      </c>
      <c r="F8">
        <v>0.94</v>
      </c>
      <c r="G8">
        <v>1.06</v>
      </c>
    </row>
    <row r="9" spans="1:7" x14ac:dyDescent="0.35">
      <c r="A9">
        <v>8</v>
      </c>
      <c r="B9" t="s">
        <v>9</v>
      </c>
      <c r="C9">
        <v>0</v>
      </c>
      <c r="D9">
        <v>0</v>
      </c>
      <c r="E9">
        <v>18</v>
      </c>
      <c r="F9">
        <v>0.94</v>
      </c>
      <c r="G9">
        <v>1.06</v>
      </c>
    </row>
    <row r="10" spans="1:7" x14ac:dyDescent="0.35">
      <c r="A10">
        <v>9</v>
      </c>
      <c r="B10" t="s">
        <v>11</v>
      </c>
      <c r="C10">
        <v>29.5</v>
      </c>
      <c r="D10">
        <v>16.600000000000001</v>
      </c>
      <c r="E10">
        <v>13.8</v>
      </c>
      <c r="F10">
        <v>0.94</v>
      </c>
      <c r="G10">
        <v>1.06</v>
      </c>
    </row>
    <row r="11" spans="1:7" x14ac:dyDescent="0.35">
      <c r="A11">
        <v>10</v>
      </c>
      <c r="B11" t="s">
        <v>11</v>
      </c>
      <c r="C11">
        <v>9</v>
      </c>
      <c r="D11">
        <v>5.8</v>
      </c>
      <c r="E11">
        <v>13.8</v>
      </c>
      <c r="F11">
        <v>0.94</v>
      </c>
      <c r="G11">
        <v>1.06</v>
      </c>
    </row>
    <row r="12" spans="1:7" x14ac:dyDescent="0.35">
      <c r="A12">
        <v>11</v>
      </c>
      <c r="B12" t="s">
        <v>11</v>
      </c>
      <c r="C12">
        <v>3.5</v>
      </c>
      <c r="D12">
        <v>1.8</v>
      </c>
      <c r="E12">
        <v>13.8</v>
      </c>
      <c r="F12">
        <v>0.94</v>
      </c>
      <c r="G12">
        <v>1.06</v>
      </c>
    </row>
    <row r="13" spans="1:7" x14ac:dyDescent="0.35">
      <c r="A13">
        <v>12</v>
      </c>
      <c r="B13" t="s">
        <v>11</v>
      </c>
      <c r="C13">
        <v>6.1</v>
      </c>
      <c r="D13">
        <v>1.6</v>
      </c>
      <c r="E13">
        <v>13.8</v>
      </c>
      <c r="F13">
        <v>0.94</v>
      </c>
      <c r="G13">
        <v>1.06</v>
      </c>
    </row>
    <row r="14" spans="1:7" x14ac:dyDescent="0.35">
      <c r="A14">
        <v>13</v>
      </c>
      <c r="B14" t="s">
        <v>11</v>
      </c>
      <c r="C14">
        <v>13.5</v>
      </c>
      <c r="D14">
        <v>5.8</v>
      </c>
      <c r="E14">
        <v>13.8</v>
      </c>
      <c r="F14">
        <v>0.94</v>
      </c>
      <c r="G14">
        <v>1.06</v>
      </c>
    </row>
    <row r="15" spans="1:7" x14ac:dyDescent="0.35">
      <c r="A15">
        <v>14</v>
      </c>
      <c r="B15" t="s">
        <v>11</v>
      </c>
      <c r="C15">
        <v>14.9</v>
      </c>
      <c r="D15">
        <v>5</v>
      </c>
      <c r="E15">
        <v>13.8</v>
      </c>
      <c r="F15">
        <v>0.94</v>
      </c>
      <c r="G15">
        <v>1.06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76BB5-5AB4-404D-AE6A-7AC1635BC45D}">
  <dimension ref="A1:K6"/>
  <sheetViews>
    <sheetView workbookViewId="0">
      <selection activeCell="C9" sqref="C9"/>
    </sheetView>
  </sheetViews>
  <sheetFormatPr defaultRowHeight="14.5" x14ac:dyDescent="0.35"/>
  <cols>
    <col min="1" max="1" width="10" bestFit="1" customWidth="1"/>
    <col min="3" max="3" width="10.81640625" bestFit="1" customWidth="1"/>
    <col min="5" max="5" width="11.1796875" bestFit="1" customWidth="1"/>
    <col min="6" max="6" width="11.54296875" bestFit="1" customWidth="1"/>
    <col min="7" max="7" width="12.1796875" bestFit="1" customWidth="1"/>
    <col min="8" max="8" width="12.54296875" bestFit="1" customWidth="1"/>
    <col min="9" max="9" width="9.81640625" bestFit="1" customWidth="1"/>
  </cols>
  <sheetData>
    <row r="1" spans="1:11" ht="16.5" x14ac:dyDescent="0.35">
      <c r="A1" s="1" t="s">
        <v>12</v>
      </c>
      <c r="B1" s="1" t="s">
        <v>8</v>
      </c>
      <c r="C1" s="1" t="s">
        <v>13</v>
      </c>
      <c r="D1" s="1" t="s">
        <v>4</v>
      </c>
      <c r="E1" s="1" t="s">
        <v>15</v>
      </c>
      <c r="F1" s="1" t="s">
        <v>16</v>
      </c>
      <c r="G1" s="1" t="s">
        <v>39</v>
      </c>
      <c r="H1" s="1" t="s">
        <v>40</v>
      </c>
      <c r="I1" s="2" t="s">
        <v>36</v>
      </c>
      <c r="J1" s="2" t="s">
        <v>37</v>
      </c>
      <c r="K1" s="2" t="s">
        <v>38</v>
      </c>
    </row>
    <row r="2" spans="1:11" x14ac:dyDescent="0.35">
      <c r="A2">
        <v>1</v>
      </c>
      <c r="B2">
        <v>1</v>
      </c>
      <c r="C2" t="s">
        <v>14</v>
      </c>
      <c r="D2">
        <v>1.06</v>
      </c>
      <c r="E2">
        <v>-10000</v>
      </c>
      <c r="F2">
        <v>10000</v>
      </c>
      <c r="G2">
        <v>-10000</v>
      </c>
      <c r="H2">
        <v>10000</v>
      </c>
      <c r="I2" t="s">
        <v>30</v>
      </c>
      <c r="J2" t="s">
        <v>30</v>
      </c>
      <c r="K2" t="s">
        <v>30</v>
      </c>
    </row>
    <row r="3" spans="1:11" x14ac:dyDescent="0.35">
      <c r="A3">
        <v>2</v>
      </c>
      <c r="B3">
        <v>2</v>
      </c>
      <c r="C3">
        <v>40</v>
      </c>
      <c r="D3">
        <v>1.0449999999999999</v>
      </c>
      <c r="E3">
        <v>40</v>
      </c>
      <c r="F3">
        <v>40</v>
      </c>
      <c r="G3">
        <v>-40</v>
      </c>
      <c r="H3">
        <v>50</v>
      </c>
      <c r="I3" t="s">
        <v>30</v>
      </c>
      <c r="J3" t="s">
        <v>30</v>
      </c>
      <c r="K3" t="s">
        <v>30</v>
      </c>
    </row>
    <row r="4" spans="1:11" x14ac:dyDescent="0.35">
      <c r="A4">
        <v>3</v>
      </c>
      <c r="B4">
        <v>3</v>
      </c>
      <c r="C4">
        <v>0</v>
      </c>
      <c r="D4">
        <v>1.01</v>
      </c>
      <c r="E4">
        <v>0</v>
      </c>
      <c r="F4">
        <v>100</v>
      </c>
      <c r="G4">
        <v>0</v>
      </c>
      <c r="H4">
        <v>40</v>
      </c>
      <c r="I4">
        <v>5.0000000000000001E-3</v>
      </c>
      <c r="J4">
        <v>2.4500000000000002</v>
      </c>
      <c r="K4">
        <v>105</v>
      </c>
    </row>
    <row r="5" spans="1:11" x14ac:dyDescent="0.35">
      <c r="A5">
        <v>4</v>
      </c>
      <c r="B5">
        <v>6</v>
      </c>
      <c r="C5">
        <v>0</v>
      </c>
      <c r="D5">
        <v>1.07</v>
      </c>
      <c r="E5">
        <v>0</v>
      </c>
      <c r="F5">
        <v>100</v>
      </c>
      <c r="G5">
        <v>-6</v>
      </c>
      <c r="H5">
        <v>55</v>
      </c>
      <c r="I5">
        <v>5.0000000000000001E-3</v>
      </c>
      <c r="J5">
        <v>3.51</v>
      </c>
      <c r="K5">
        <v>44.1</v>
      </c>
    </row>
    <row r="6" spans="1:11" x14ac:dyDescent="0.35">
      <c r="A6">
        <v>5</v>
      </c>
      <c r="B6">
        <v>8</v>
      </c>
      <c r="C6">
        <v>0</v>
      </c>
      <c r="D6">
        <v>1.0900000000000001</v>
      </c>
      <c r="E6">
        <v>0</v>
      </c>
      <c r="F6">
        <v>100</v>
      </c>
      <c r="G6">
        <v>-6</v>
      </c>
      <c r="H6">
        <v>30</v>
      </c>
      <c r="I6">
        <v>5.0000000000000001E-3</v>
      </c>
      <c r="J6">
        <v>3.89</v>
      </c>
      <c r="K6">
        <v>40.6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3FA2B-04AF-4B9C-9194-CAAD402285D2}">
  <dimension ref="A1:N21"/>
  <sheetViews>
    <sheetView workbookViewId="0">
      <selection activeCell="L15" sqref="L15"/>
    </sheetView>
  </sheetViews>
  <sheetFormatPr defaultRowHeight="14.5" x14ac:dyDescent="0.35"/>
  <cols>
    <col min="1" max="1" width="11.1796875" bestFit="1" customWidth="1"/>
    <col min="7" max="7" width="19.1796875" bestFit="1" customWidth="1"/>
    <col min="8" max="8" width="19.1796875" customWidth="1"/>
    <col min="9" max="9" width="25" bestFit="1" customWidth="1"/>
    <col min="10" max="10" width="23.453125" bestFit="1" customWidth="1"/>
    <col min="11" max="11" width="16.81640625" bestFit="1" customWidth="1"/>
  </cols>
  <sheetData>
    <row r="1" spans="1:14" s="1" customFormat="1" x14ac:dyDescent="0.3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1</v>
      </c>
      <c r="I1" s="1" t="s">
        <v>35</v>
      </c>
      <c r="J1" s="1" t="s">
        <v>24</v>
      </c>
      <c r="K1" s="1" t="s">
        <v>27</v>
      </c>
      <c r="L1" s="1" t="s">
        <v>41</v>
      </c>
      <c r="M1" s="1" t="s">
        <v>42</v>
      </c>
      <c r="N1" s="1" t="s">
        <v>43</v>
      </c>
    </row>
    <row r="2" spans="1:14" x14ac:dyDescent="0.35">
      <c r="A2">
        <v>1</v>
      </c>
      <c r="B2">
        <v>2</v>
      </c>
      <c r="C2">
        <v>1.9380000000000001E-2</v>
      </c>
      <c r="D2">
        <v>5.917E-2</v>
      </c>
      <c r="E2">
        <v>5.28E-2</v>
      </c>
      <c r="F2">
        <v>0</v>
      </c>
      <c r="G2">
        <v>120</v>
      </c>
      <c r="H2" t="s">
        <v>26</v>
      </c>
      <c r="I2">
        <v>0</v>
      </c>
      <c r="J2">
        <v>0</v>
      </c>
      <c r="L2">
        <v>0</v>
      </c>
      <c r="M2">
        <v>0</v>
      </c>
      <c r="N2">
        <v>0</v>
      </c>
    </row>
    <row r="3" spans="1:14" x14ac:dyDescent="0.35">
      <c r="A3">
        <v>1</v>
      </c>
      <c r="B3">
        <v>5</v>
      </c>
      <c r="C3">
        <v>5.4030000000000002E-2</v>
      </c>
      <c r="D3">
        <v>0.22303999999999999</v>
      </c>
      <c r="E3">
        <v>4.9200000000000001E-2</v>
      </c>
      <c r="F3">
        <v>0</v>
      </c>
      <c r="G3">
        <v>65</v>
      </c>
      <c r="H3" t="s">
        <v>26</v>
      </c>
      <c r="I3">
        <v>0</v>
      </c>
      <c r="J3">
        <v>0</v>
      </c>
      <c r="L3">
        <v>0</v>
      </c>
      <c r="M3">
        <v>0</v>
      </c>
      <c r="N3">
        <v>0</v>
      </c>
    </row>
    <row r="4" spans="1:14" x14ac:dyDescent="0.35">
      <c r="A4">
        <v>2</v>
      </c>
      <c r="B4">
        <v>3</v>
      </c>
      <c r="C4">
        <v>4.6989999999999997E-2</v>
      </c>
      <c r="D4">
        <v>0.19797000000000001</v>
      </c>
      <c r="E4">
        <v>4.3799999999999999E-2</v>
      </c>
      <c r="F4">
        <v>0</v>
      </c>
      <c r="G4">
        <v>36</v>
      </c>
      <c r="H4" t="s">
        <v>26</v>
      </c>
      <c r="I4">
        <v>0</v>
      </c>
      <c r="J4">
        <v>0</v>
      </c>
      <c r="L4">
        <v>0</v>
      </c>
      <c r="M4">
        <v>0</v>
      </c>
      <c r="N4">
        <v>0</v>
      </c>
    </row>
    <row r="5" spans="1:14" x14ac:dyDescent="0.35">
      <c r="A5">
        <v>2</v>
      </c>
      <c r="B5">
        <v>4</v>
      </c>
      <c r="C5">
        <v>5.8110000000000002E-2</v>
      </c>
      <c r="D5">
        <v>0.17632</v>
      </c>
      <c r="E5">
        <v>3.4000000000000002E-2</v>
      </c>
      <c r="F5">
        <v>0</v>
      </c>
      <c r="G5">
        <v>65</v>
      </c>
      <c r="H5" t="s">
        <v>26</v>
      </c>
      <c r="I5">
        <v>0</v>
      </c>
      <c r="J5">
        <v>0</v>
      </c>
      <c r="L5">
        <v>0</v>
      </c>
      <c r="M5">
        <v>0</v>
      </c>
      <c r="N5">
        <v>0</v>
      </c>
    </row>
    <row r="6" spans="1:14" x14ac:dyDescent="0.35">
      <c r="A6">
        <v>2</v>
      </c>
      <c r="B6">
        <v>5</v>
      </c>
      <c r="C6">
        <v>5.6950000000000001E-2</v>
      </c>
      <c r="D6">
        <v>0.17388000000000001</v>
      </c>
      <c r="E6">
        <v>3.4599999999999999E-2</v>
      </c>
      <c r="F6">
        <v>0</v>
      </c>
      <c r="G6">
        <v>50</v>
      </c>
      <c r="H6" t="s">
        <v>26</v>
      </c>
      <c r="I6">
        <v>0</v>
      </c>
      <c r="J6">
        <v>0</v>
      </c>
      <c r="L6">
        <v>0</v>
      </c>
      <c r="M6">
        <v>0</v>
      </c>
      <c r="N6">
        <v>0</v>
      </c>
    </row>
    <row r="7" spans="1:14" x14ac:dyDescent="0.35">
      <c r="A7">
        <v>3</v>
      </c>
      <c r="B7">
        <v>4</v>
      </c>
      <c r="C7">
        <v>6.701E-2</v>
      </c>
      <c r="D7">
        <v>0.17102999999999999</v>
      </c>
      <c r="E7">
        <v>1.2800000000000001E-2</v>
      </c>
      <c r="F7">
        <v>0</v>
      </c>
      <c r="G7">
        <v>65</v>
      </c>
      <c r="H7" t="s">
        <v>26</v>
      </c>
      <c r="I7">
        <v>0</v>
      </c>
      <c r="J7">
        <v>0</v>
      </c>
      <c r="L7">
        <v>0</v>
      </c>
      <c r="M7">
        <v>0</v>
      </c>
      <c r="N7">
        <v>0</v>
      </c>
    </row>
    <row r="8" spans="1:14" x14ac:dyDescent="0.35">
      <c r="A8">
        <v>4</v>
      </c>
      <c r="B8">
        <v>5</v>
      </c>
      <c r="C8">
        <v>1.3350000000000001E-2</v>
      </c>
      <c r="D8">
        <v>4.2110000000000002E-2</v>
      </c>
      <c r="E8">
        <v>0</v>
      </c>
      <c r="F8">
        <v>0</v>
      </c>
      <c r="G8">
        <v>45</v>
      </c>
      <c r="H8" t="s">
        <v>26</v>
      </c>
      <c r="I8">
        <v>0</v>
      </c>
      <c r="J8">
        <v>0</v>
      </c>
      <c r="L8">
        <v>0</v>
      </c>
      <c r="M8">
        <v>0</v>
      </c>
      <c r="N8">
        <v>0</v>
      </c>
    </row>
    <row r="9" spans="1:14" x14ac:dyDescent="0.35">
      <c r="A9">
        <v>4</v>
      </c>
      <c r="B9">
        <v>7</v>
      </c>
      <c r="C9">
        <v>0</v>
      </c>
      <c r="D9">
        <v>0.20912</v>
      </c>
      <c r="E9">
        <v>0</v>
      </c>
      <c r="F9">
        <v>0</v>
      </c>
      <c r="G9">
        <v>55</v>
      </c>
      <c r="H9" t="s">
        <v>25</v>
      </c>
      <c r="I9">
        <v>1</v>
      </c>
      <c r="J9">
        <v>0</v>
      </c>
      <c r="K9" t="s">
        <v>28</v>
      </c>
      <c r="L9">
        <v>2</v>
      </c>
      <c r="M9">
        <v>-30</v>
      </c>
      <c r="N9">
        <v>30</v>
      </c>
    </row>
    <row r="10" spans="1:14" x14ac:dyDescent="0.35">
      <c r="A10">
        <v>4</v>
      </c>
      <c r="B10">
        <v>9</v>
      </c>
      <c r="C10">
        <v>0</v>
      </c>
      <c r="D10">
        <v>0.55618000000000001</v>
      </c>
      <c r="E10">
        <v>0</v>
      </c>
      <c r="F10">
        <v>0</v>
      </c>
      <c r="G10">
        <v>32</v>
      </c>
      <c r="H10" t="s">
        <v>25</v>
      </c>
      <c r="I10">
        <v>1</v>
      </c>
      <c r="J10">
        <v>0</v>
      </c>
      <c r="K10" t="s">
        <v>28</v>
      </c>
      <c r="L10">
        <v>2</v>
      </c>
      <c r="M10">
        <v>-30</v>
      </c>
      <c r="N10">
        <v>30</v>
      </c>
    </row>
    <row r="11" spans="1:14" x14ac:dyDescent="0.35">
      <c r="A11">
        <v>5</v>
      </c>
      <c r="B11">
        <v>6</v>
      </c>
      <c r="C11">
        <v>0</v>
      </c>
      <c r="D11">
        <v>0.25202000000000002</v>
      </c>
      <c r="E11">
        <v>0</v>
      </c>
      <c r="F11">
        <v>0</v>
      </c>
      <c r="G11">
        <v>45</v>
      </c>
      <c r="H11" t="s">
        <v>25</v>
      </c>
      <c r="I11">
        <v>1</v>
      </c>
      <c r="J11">
        <v>0</v>
      </c>
      <c r="K11" t="s">
        <v>28</v>
      </c>
      <c r="L11">
        <v>2</v>
      </c>
      <c r="M11">
        <v>-30</v>
      </c>
      <c r="N11">
        <v>30</v>
      </c>
    </row>
    <row r="12" spans="1:14" x14ac:dyDescent="0.35">
      <c r="A12">
        <v>6</v>
      </c>
      <c r="B12">
        <v>11</v>
      </c>
      <c r="C12">
        <v>9.4979999999999995E-2</v>
      </c>
      <c r="D12">
        <v>0.19889999999999999</v>
      </c>
      <c r="E12">
        <v>0</v>
      </c>
      <c r="F12">
        <v>0</v>
      </c>
      <c r="G12">
        <v>18</v>
      </c>
      <c r="H12" t="s">
        <v>26</v>
      </c>
      <c r="I12">
        <v>0</v>
      </c>
      <c r="J12">
        <v>0</v>
      </c>
      <c r="L12">
        <v>0</v>
      </c>
      <c r="M12">
        <v>0</v>
      </c>
      <c r="N12">
        <v>0</v>
      </c>
    </row>
    <row r="13" spans="1:14" x14ac:dyDescent="0.35">
      <c r="A13">
        <v>6</v>
      </c>
      <c r="B13">
        <v>12</v>
      </c>
      <c r="C13">
        <v>0.12291000000000001</v>
      </c>
      <c r="D13">
        <v>0.25580999999999998</v>
      </c>
      <c r="E13">
        <v>0</v>
      </c>
      <c r="F13">
        <v>0</v>
      </c>
      <c r="G13">
        <v>32</v>
      </c>
      <c r="H13" t="s">
        <v>26</v>
      </c>
      <c r="I13">
        <v>0</v>
      </c>
      <c r="J13">
        <v>0</v>
      </c>
      <c r="L13">
        <v>0</v>
      </c>
      <c r="M13">
        <v>0</v>
      </c>
      <c r="N13">
        <v>0</v>
      </c>
    </row>
    <row r="14" spans="1:14" x14ac:dyDescent="0.35">
      <c r="A14">
        <v>6</v>
      </c>
      <c r="B14">
        <v>13</v>
      </c>
      <c r="C14">
        <v>6.615E-2</v>
      </c>
      <c r="D14">
        <v>0.13027</v>
      </c>
      <c r="E14">
        <v>0</v>
      </c>
      <c r="F14">
        <v>0</v>
      </c>
      <c r="G14">
        <v>32</v>
      </c>
      <c r="H14" t="s">
        <v>26</v>
      </c>
      <c r="I14">
        <v>0</v>
      </c>
      <c r="J14">
        <v>0</v>
      </c>
      <c r="L14">
        <v>0</v>
      </c>
      <c r="M14">
        <v>0</v>
      </c>
      <c r="N14">
        <v>0</v>
      </c>
    </row>
    <row r="15" spans="1:14" x14ac:dyDescent="0.35">
      <c r="A15">
        <v>7</v>
      </c>
      <c r="B15">
        <v>8</v>
      </c>
      <c r="C15">
        <v>0</v>
      </c>
      <c r="D15">
        <v>0.17615</v>
      </c>
      <c r="E15">
        <v>0</v>
      </c>
      <c r="F15">
        <v>0</v>
      </c>
      <c r="G15">
        <v>32</v>
      </c>
      <c r="H15" t="s">
        <v>25</v>
      </c>
      <c r="I15">
        <v>1</v>
      </c>
      <c r="J15">
        <v>0</v>
      </c>
      <c r="K15" t="s">
        <v>29</v>
      </c>
      <c r="L15">
        <v>1.2500000000000001E-2</v>
      </c>
      <c r="M15">
        <v>0.9</v>
      </c>
      <c r="N15">
        <v>1.1000000000000001</v>
      </c>
    </row>
    <row r="16" spans="1:14" x14ac:dyDescent="0.35">
      <c r="A16">
        <v>7</v>
      </c>
      <c r="B16">
        <v>9</v>
      </c>
      <c r="C16">
        <v>0</v>
      </c>
      <c r="D16">
        <v>0.11001</v>
      </c>
      <c r="E16">
        <v>0</v>
      </c>
      <c r="F16">
        <v>0</v>
      </c>
      <c r="G16">
        <v>32</v>
      </c>
      <c r="H16" t="s">
        <v>26</v>
      </c>
      <c r="I16">
        <v>0</v>
      </c>
      <c r="J16">
        <v>0</v>
      </c>
      <c r="L16">
        <v>0</v>
      </c>
      <c r="M16">
        <v>0</v>
      </c>
      <c r="N16">
        <v>0</v>
      </c>
    </row>
    <row r="17" spans="1:14" x14ac:dyDescent="0.35">
      <c r="A17">
        <v>9</v>
      </c>
      <c r="B17">
        <v>10</v>
      </c>
      <c r="C17">
        <v>3.1809999999999998E-2</v>
      </c>
      <c r="D17">
        <v>8.4500000000000006E-2</v>
      </c>
      <c r="E17">
        <v>0</v>
      </c>
      <c r="F17">
        <v>0</v>
      </c>
      <c r="G17">
        <v>32</v>
      </c>
      <c r="H17" t="s">
        <v>26</v>
      </c>
      <c r="I17">
        <v>0</v>
      </c>
      <c r="J17">
        <v>0</v>
      </c>
      <c r="L17">
        <v>0</v>
      </c>
      <c r="M17">
        <v>0</v>
      </c>
      <c r="N17">
        <v>0</v>
      </c>
    </row>
    <row r="18" spans="1:14" x14ac:dyDescent="0.35">
      <c r="A18">
        <v>9</v>
      </c>
      <c r="B18">
        <v>14</v>
      </c>
      <c r="C18">
        <v>0.12711</v>
      </c>
      <c r="D18">
        <v>0.27038000000000001</v>
      </c>
      <c r="E18">
        <v>0</v>
      </c>
      <c r="F18">
        <v>0</v>
      </c>
      <c r="G18">
        <v>32</v>
      </c>
      <c r="H18" t="s">
        <v>26</v>
      </c>
      <c r="I18">
        <v>0</v>
      </c>
      <c r="J18">
        <v>0</v>
      </c>
      <c r="L18">
        <v>0</v>
      </c>
      <c r="M18">
        <v>0</v>
      </c>
      <c r="N18">
        <v>0</v>
      </c>
    </row>
    <row r="19" spans="1:14" x14ac:dyDescent="0.35">
      <c r="A19">
        <v>10</v>
      </c>
      <c r="B19">
        <v>11</v>
      </c>
      <c r="C19">
        <v>8.2049999999999998E-2</v>
      </c>
      <c r="D19">
        <v>0.19206999999999999</v>
      </c>
      <c r="E19">
        <v>0</v>
      </c>
      <c r="F19">
        <v>0</v>
      </c>
      <c r="G19">
        <v>12</v>
      </c>
      <c r="H19" t="s">
        <v>26</v>
      </c>
      <c r="I19">
        <v>0</v>
      </c>
      <c r="J19">
        <v>0</v>
      </c>
      <c r="L19">
        <v>0</v>
      </c>
      <c r="M19">
        <v>0</v>
      </c>
      <c r="N19">
        <v>0</v>
      </c>
    </row>
    <row r="20" spans="1:14" x14ac:dyDescent="0.35">
      <c r="A20">
        <v>12</v>
      </c>
      <c r="B20">
        <v>13</v>
      </c>
      <c r="C20">
        <v>0.22092000000000001</v>
      </c>
      <c r="D20">
        <v>0.19988</v>
      </c>
      <c r="E20">
        <v>0</v>
      </c>
      <c r="F20">
        <v>0</v>
      </c>
      <c r="G20">
        <v>12</v>
      </c>
      <c r="H20" t="s">
        <v>26</v>
      </c>
      <c r="I20">
        <v>0</v>
      </c>
      <c r="J20">
        <v>0</v>
      </c>
      <c r="L20">
        <v>0</v>
      </c>
      <c r="M20">
        <v>0</v>
      </c>
      <c r="N20">
        <v>0</v>
      </c>
    </row>
    <row r="21" spans="1:14" x14ac:dyDescent="0.35">
      <c r="A21">
        <v>13</v>
      </c>
      <c r="B21">
        <v>14</v>
      </c>
      <c r="C21">
        <v>0.17093</v>
      </c>
      <c r="D21">
        <v>0.34802</v>
      </c>
      <c r="E21">
        <v>0</v>
      </c>
      <c r="F21">
        <v>0</v>
      </c>
      <c r="G21">
        <v>12</v>
      </c>
      <c r="H21" t="s">
        <v>26</v>
      </c>
      <c r="I21">
        <v>0</v>
      </c>
      <c r="J21">
        <v>0</v>
      </c>
      <c r="L21">
        <v>0</v>
      </c>
      <c r="M21">
        <v>0</v>
      </c>
      <c r="N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447A-3CEF-4785-861F-3FE0AC3012C3}">
  <dimension ref="A1:C4"/>
  <sheetViews>
    <sheetView workbookViewId="0">
      <selection activeCell="C11" sqref="C11"/>
    </sheetView>
  </sheetViews>
  <sheetFormatPr defaultRowHeight="14.5" x14ac:dyDescent="0.35"/>
  <cols>
    <col min="2" max="2" width="20.1796875" bestFit="1" customWidth="1"/>
  </cols>
  <sheetData>
    <row r="1" spans="1:3" s="1" customFormat="1" x14ac:dyDescent="0.35">
      <c r="A1" s="1" t="s">
        <v>8</v>
      </c>
      <c r="B1" s="1" t="s">
        <v>31</v>
      </c>
      <c r="C1" s="1" t="s">
        <v>32</v>
      </c>
    </row>
    <row r="2" spans="1:3" x14ac:dyDescent="0.35">
      <c r="A2">
        <v>4</v>
      </c>
      <c r="B2">
        <v>19</v>
      </c>
      <c r="C2" t="s">
        <v>33</v>
      </c>
    </row>
    <row r="3" spans="1:3" x14ac:dyDescent="0.35">
      <c r="A3">
        <v>9</v>
      </c>
      <c r="B3">
        <v>19</v>
      </c>
      <c r="C3" t="s">
        <v>33</v>
      </c>
    </row>
    <row r="4" spans="1:3" x14ac:dyDescent="0.35">
      <c r="A4">
        <v>12</v>
      </c>
      <c r="B4">
        <v>19</v>
      </c>
      <c r="C4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4FFAD-586E-4B45-A6F7-7B8C372B2BDA}">
  <dimension ref="A1:C15"/>
  <sheetViews>
    <sheetView workbookViewId="0">
      <selection activeCell="H20" sqref="H20"/>
    </sheetView>
  </sheetViews>
  <sheetFormatPr defaultRowHeight="14.5" x14ac:dyDescent="0.35"/>
  <cols>
    <col min="2" max="2" width="12" bestFit="1" customWidth="1"/>
    <col min="3" max="3" width="11" bestFit="1" customWidth="1"/>
    <col min="6" max="6" width="6.81640625" bestFit="1" customWidth="1"/>
  </cols>
  <sheetData>
    <row r="1" spans="1:3" s="1" customFormat="1" x14ac:dyDescent="0.35">
      <c r="A1" s="1" t="s">
        <v>0</v>
      </c>
      <c r="B1" s="1" t="s">
        <v>4</v>
      </c>
      <c r="C1" s="1" t="s">
        <v>34</v>
      </c>
    </row>
    <row r="2" spans="1:3" x14ac:dyDescent="0.35">
      <c r="A2">
        <v>1</v>
      </c>
      <c r="B2">
        <v>1.06</v>
      </c>
      <c r="C2">
        <v>0</v>
      </c>
    </row>
    <row r="3" spans="1:3" x14ac:dyDescent="0.35">
      <c r="A3">
        <v>2</v>
      </c>
      <c r="B3">
        <v>1.0449999999999999</v>
      </c>
      <c r="C3">
        <v>-4.9564700000000004</v>
      </c>
    </row>
    <row r="4" spans="1:3" x14ac:dyDescent="0.35">
      <c r="A4">
        <v>3</v>
      </c>
      <c r="B4">
        <v>1.01</v>
      </c>
      <c r="C4">
        <v>-12.63274</v>
      </c>
    </row>
    <row r="5" spans="1:3" x14ac:dyDescent="0.35">
      <c r="A5">
        <v>4</v>
      </c>
      <c r="B5">
        <v>1.0260899999999999</v>
      </c>
      <c r="C5">
        <v>-10.36585</v>
      </c>
    </row>
    <row r="6" spans="1:3" x14ac:dyDescent="0.35">
      <c r="A6">
        <v>5</v>
      </c>
      <c r="B6">
        <v>1.0326</v>
      </c>
      <c r="C6">
        <v>-8.9466300000000007</v>
      </c>
    </row>
    <row r="7" spans="1:3" x14ac:dyDescent="0.35">
      <c r="A7">
        <v>6</v>
      </c>
      <c r="B7">
        <v>1.07</v>
      </c>
      <c r="C7">
        <v>-14.87918</v>
      </c>
    </row>
    <row r="8" spans="1:3" x14ac:dyDescent="0.35">
      <c r="A8">
        <v>7</v>
      </c>
      <c r="B8">
        <v>1.04481</v>
      </c>
      <c r="C8">
        <v>-13.45011</v>
      </c>
    </row>
    <row r="9" spans="1:3" x14ac:dyDescent="0.35">
      <c r="A9">
        <v>8</v>
      </c>
      <c r="B9">
        <v>1.0900000000000001</v>
      </c>
      <c r="C9">
        <v>-13.450049999999999</v>
      </c>
    </row>
    <row r="10" spans="1:3" x14ac:dyDescent="0.35">
      <c r="A10">
        <v>9</v>
      </c>
      <c r="B10">
        <v>1.02763</v>
      </c>
      <c r="C10">
        <v>-15.06968</v>
      </c>
    </row>
    <row r="11" spans="1:3" x14ac:dyDescent="0.35">
      <c r="A11">
        <v>10</v>
      </c>
      <c r="B11">
        <v>1.0275399999999999</v>
      </c>
      <c r="C11">
        <v>-15.31793</v>
      </c>
    </row>
    <row r="12" spans="1:3" x14ac:dyDescent="0.35">
      <c r="A12">
        <v>11</v>
      </c>
      <c r="B12">
        <v>1.04494</v>
      </c>
      <c r="C12">
        <v>-15.213240000000001</v>
      </c>
    </row>
    <row r="13" spans="1:3" x14ac:dyDescent="0.35">
      <c r="A13">
        <v>12</v>
      </c>
      <c r="B13">
        <v>1.0530200000000001</v>
      </c>
      <c r="C13">
        <v>-15.719469999999999</v>
      </c>
    </row>
    <row r="14" spans="1:3" x14ac:dyDescent="0.35">
      <c r="A14">
        <v>13</v>
      </c>
      <c r="B14">
        <v>1.04623</v>
      </c>
      <c r="C14">
        <v>-15.738060000000001</v>
      </c>
    </row>
    <row r="15" spans="1:3" x14ac:dyDescent="0.35">
      <c r="A15">
        <v>14</v>
      </c>
      <c r="B15">
        <v>1.0174300000000001</v>
      </c>
      <c r="C15">
        <v>-16.39378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2649-79A9-4750-81F8-F6613BFE84EB}">
  <dimension ref="C4:G36"/>
  <sheetViews>
    <sheetView topLeftCell="A4" workbookViewId="0">
      <selection activeCell="P20" sqref="P20"/>
    </sheetView>
  </sheetViews>
  <sheetFormatPr defaultRowHeight="14.5" x14ac:dyDescent="0.35"/>
  <sheetData>
    <row r="4" spans="3:7" x14ac:dyDescent="0.35">
      <c r="C4" t="s">
        <v>50</v>
      </c>
      <c r="D4" t="s">
        <v>44</v>
      </c>
      <c r="G4" t="s">
        <v>48</v>
      </c>
    </row>
    <row r="5" spans="3:7" x14ac:dyDescent="0.35">
      <c r="D5" s="3" t="s">
        <v>45</v>
      </c>
      <c r="E5" s="3" t="s">
        <v>46</v>
      </c>
      <c r="F5" s="3" t="s">
        <v>47</v>
      </c>
      <c r="G5" s="3" t="s">
        <v>49</v>
      </c>
    </row>
    <row r="6" spans="3:7" x14ac:dyDescent="0.35">
      <c r="C6">
        <v>0</v>
      </c>
      <c r="D6">
        <v>72.599999999999994</v>
      </c>
      <c r="E6">
        <v>72.599999999999994</v>
      </c>
      <c r="F6">
        <v>72.599999999999994</v>
      </c>
    </row>
    <row r="7" spans="3:7" x14ac:dyDescent="0.35">
      <c r="C7">
        <f>C6+2</f>
        <v>2</v>
      </c>
      <c r="D7">
        <v>72.5</v>
      </c>
      <c r="E7">
        <v>72.599999999999994</v>
      </c>
      <c r="F7">
        <v>72.900000000000006</v>
      </c>
    </row>
    <row r="8" spans="3:7" x14ac:dyDescent="0.35">
      <c r="C8">
        <f t="shared" ref="C8:C21" si="0">C7+2</f>
        <v>4</v>
      </c>
      <c r="D8">
        <v>72.400000000000006</v>
      </c>
      <c r="E8">
        <v>72.5</v>
      </c>
      <c r="F8">
        <v>73.099999999999994</v>
      </c>
    </row>
    <row r="9" spans="3:7" x14ac:dyDescent="0.35">
      <c r="C9">
        <f t="shared" si="0"/>
        <v>6</v>
      </c>
      <c r="D9">
        <v>72.2</v>
      </c>
      <c r="E9">
        <v>72.400000000000006</v>
      </c>
      <c r="F9">
        <v>73.400000000000006</v>
      </c>
    </row>
    <row r="10" spans="3:7" x14ac:dyDescent="0.35">
      <c r="C10">
        <f t="shared" si="0"/>
        <v>8</v>
      </c>
      <c r="D10">
        <v>72.099999999999994</v>
      </c>
      <c r="E10">
        <v>72.3</v>
      </c>
      <c r="F10">
        <v>73.7</v>
      </c>
    </row>
    <row r="11" spans="3:7" x14ac:dyDescent="0.35">
      <c r="C11">
        <f t="shared" si="0"/>
        <v>10</v>
      </c>
      <c r="D11">
        <v>72</v>
      </c>
      <c r="E11">
        <v>72.3</v>
      </c>
      <c r="F11">
        <v>74</v>
      </c>
    </row>
    <row r="12" spans="3:7" x14ac:dyDescent="0.35">
      <c r="C12">
        <f t="shared" si="0"/>
        <v>12</v>
      </c>
      <c r="D12">
        <v>71.900000000000006</v>
      </c>
      <c r="E12">
        <v>72.2</v>
      </c>
      <c r="F12">
        <v>74.3</v>
      </c>
    </row>
    <row r="13" spans="3:7" x14ac:dyDescent="0.35">
      <c r="C13">
        <f t="shared" si="0"/>
        <v>14</v>
      </c>
      <c r="D13">
        <v>71.8</v>
      </c>
      <c r="E13">
        <v>72.2</v>
      </c>
      <c r="F13">
        <v>74.599999999999994</v>
      </c>
    </row>
    <row r="14" spans="3:7" x14ac:dyDescent="0.35">
      <c r="C14">
        <f t="shared" si="0"/>
        <v>16</v>
      </c>
      <c r="D14">
        <v>71.7</v>
      </c>
      <c r="E14">
        <v>72.099999999999994</v>
      </c>
      <c r="F14">
        <v>75</v>
      </c>
    </row>
    <row r="15" spans="3:7" x14ac:dyDescent="0.35">
      <c r="C15">
        <f t="shared" si="0"/>
        <v>18</v>
      </c>
      <c r="D15">
        <v>71.7</v>
      </c>
      <c r="E15">
        <v>72.099999999999994</v>
      </c>
      <c r="F15">
        <v>75.400000000000006</v>
      </c>
    </row>
    <row r="16" spans="3:7" x14ac:dyDescent="0.35">
      <c r="C16">
        <f t="shared" si="0"/>
        <v>20</v>
      </c>
      <c r="D16">
        <v>71.599999999999994</v>
      </c>
      <c r="E16">
        <v>72.099999999999994</v>
      </c>
      <c r="F16">
        <v>75.8</v>
      </c>
    </row>
    <row r="17" spans="3:6" x14ac:dyDescent="0.35">
      <c r="C17">
        <f t="shared" si="0"/>
        <v>22</v>
      </c>
      <c r="D17">
        <v>71.599999999999994</v>
      </c>
      <c r="E17">
        <v>72.099999999999994</v>
      </c>
      <c r="F17">
        <v>76.2</v>
      </c>
    </row>
    <row r="18" spans="3:6" x14ac:dyDescent="0.35">
      <c r="C18">
        <f t="shared" si="0"/>
        <v>24</v>
      </c>
      <c r="D18">
        <v>71.599999999999994</v>
      </c>
      <c r="E18">
        <v>72.099999999999994</v>
      </c>
      <c r="F18">
        <v>76.599999999999994</v>
      </c>
    </row>
    <row r="19" spans="3:6" x14ac:dyDescent="0.35">
      <c r="C19">
        <f t="shared" si="0"/>
        <v>26</v>
      </c>
      <c r="D19">
        <v>71.7</v>
      </c>
      <c r="E19">
        <v>72.099999999999994</v>
      </c>
      <c r="F19">
        <v>77</v>
      </c>
    </row>
    <row r="20" spans="3:6" x14ac:dyDescent="0.35">
      <c r="C20">
        <f t="shared" si="0"/>
        <v>28</v>
      </c>
      <c r="D20">
        <v>71.7</v>
      </c>
      <c r="E20">
        <v>72.2</v>
      </c>
      <c r="F20">
        <v>77.5</v>
      </c>
    </row>
    <row r="21" spans="3:6" x14ac:dyDescent="0.35">
      <c r="C21">
        <f t="shared" si="0"/>
        <v>30</v>
      </c>
      <c r="D21">
        <v>71.8</v>
      </c>
      <c r="E21">
        <v>72.2</v>
      </c>
      <c r="F21">
        <v>77.900000000000006</v>
      </c>
    </row>
    <row r="22" spans="3:6" x14ac:dyDescent="0.35">
      <c r="C22">
        <v>-2</v>
      </c>
      <c r="D22">
        <v>72.8</v>
      </c>
      <c r="E22">
        <v>72.7</v>
      </c>
      <c r="F22">
        <v>72.400000000000006</v>
      </c>
    </row>
    <row r="23" spans="3:6" x14ac:dyDescent="0.35">
      <c r="C23">
        <f>C22-2</f>
        <v>-4</v>
      </c>
      <c r="D23">
        <v>73</v>
      </c>
      <c r="E23">
        <v>72.8</v>
      </c>
      <c r="F23">
        <v>72.2</v>
      </c>
    </row>
    <row r="24" spans="3:6" x14ac:dyDescent="0.35">
      <c r="C24">
        <f t="shared" ref="C24:C36" si="1">C23-2</f>
        <v>-6</v>
      </c>
      <c r="D24">
        <v>73.099999999999994</v>
      </c>
      <c r="E24">
        <v>72.900000000000006</v>
      </c>
      <c r="F24">
        <v>72</v>
      </c>
    </row>
    <row r="25" spans="3:6" x14ac:dyDescent="0.35">
      <c r="C25">
        <f t="shared" si="1"/>
        <v>-8</v>
      </c>
      <c r="D25">
        <v>73.3</v>
      </c>
      <c r="E25">
        <v>73</v>
      </c>
      <c r="F25">
        <v>71.8</v>
      </c>
    </row>
    <row r="26" spans="3:6" x14ac:dyDescent="0.35">
      <c r="C26">
        <f t="shared" si="1"/>
        <v>-10</v>
      </c>
      <c r="D26">
        <v>73.5</v>
      </c>
      <c r="E26">
        <v>73.099999999999994</v>
      </c>
      <c r="F26">
        <v>71.599999999999994</v>
      </c>
    </row>
    <row r="27" spans="3:6" x14ac:dyDescent="0.35">
      <c r="C27">
        <f t="shared" si="1"/>
        <v>-12</v>
      </c>
      <c r="D27">
        <v>73.7</v>
      </c>
      <c r="E27">
        <v>73.2</v>
      </c>
      <c r="F27">
        <v>71.400000000000006</v>
      </c>
    </row>
    <row r="28" spans="3:6" x14ac:dyDescent="0.35">
      <c r="C28">
        <f t="shared" si="1"/>
        <v>-14</v>
      </c>
      <c r="D28">
        <v>73.900000000000006</v>
      </c>
      <c r="E28">
        <v>73.400000000000006</v>
      </c>
      <c r="F28">
        <v>71.3</v>
      </c>
    </row>
    <row r="29" spans="3:6" x14ac:dyDescent="0.35">
      <c r="C29">
        <f t="shared" si="1"/>
        <v>-16</v>
      </c>
      <c r="D29">
        <v>74.2</v>
      </c>
      <c r="E29">
        <v>73.5</v>
      </c>
      <c r="F29">
        <v>71.2</v>
      </c>
    </row>
    <row r="30" spans="3:6" x14ac:dyDescent="0.35">
      <c r="C30">
        <f t="shared" si="1"/>
        <v>-18</v>
      </c>
      <c r="D30">
        <v>74.400000000000006</v>
      </c>
      <c r="E30">
        <v>73.599999999999994</v>
      </c>
      <c r="F30">
        <v>71</v>
      </c>
    </row>
    <row r="31" spans="3:6" x14ac:dyDescent="0.35">
      <c r="C31">
        <f t="shared" si="1"/>
        <v>-20</v>
      </c>
      <c r="D31">
        <v>74.7</v>
      </c>
      <c r="E31">
        <v>73.8</v>
      </c>
      <c r="F31">
        <v>70.900000000000006</v>
      </c>
    </row>
    <row r="32" spans="3:6" x14ac:dyDescent="0.35">
      <c r="C32">
        <f t="shared" si="1"/>
        <v>-22</v>
      </c>
      <c r="D32">
        <v>75</v>
      </c>
      <c r="E32">
        <v>74</v>
      </c>
      <c r="F32">
        <v>70.8</v>
      </c>
    </row>
    <row r="33" spans="3:6" x14ac:dyDescent="0.35">
      <c r="C33">
        <f t="shared" si="1"/>
        <v>-24</v>
      </c>
      <c r="D33">
        <v>75.3</v>
      </c>
      <c r="E33">
        <v>74.2</v>
      </c>
      <c r="F33">
        <v>70.8</v>
      </c>
    </row>
    <row r="34" spans="3:6" x14ac:dyDescent="0.35">
      <c r="C34">
        <f t="shared" si="1"/>
        <v>-26</v>
      </c>
      <c r="D34">
        <v>75.599999999999994</v>
      </c>
      <c r="E34">
        <v>74.400000000000006</v>
      </c>
      <c r="F34">
        <v>70.8</v>
      </c>
    </row>
    <row r="35" spans="3:6" x14ac:dyDescent="0.35">
      <c r="C35">
        <f t="shared" si="1"/>
        <v>-28</v>
      </c>
      <c r="D35">
        <v>76</v>
      </c>
      <c r="E35">
        <v>74.599999999999994</v>
      </c>
      <c r="F35">
        <v>70.8</v>
      </c>
    </row>
    <row r="36" spans="3:6" x14ac:dyDescent="0.35">
      <c r="C36">
        <f t="shared" si="1"/>
        <v>-30</v>
      </c>
      <c r="D36">
        <v>76.3</v>
      </c>
      <c r="E36">
        <v>74.8</v>
      </c>
      <c r="F36">
        <v>70.8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A985C-9000-4D98-9A41-CFC91BE0E4F9}">
  <dimension ref="D3:I12"/>
  <sheetViews>
    <sheetView workbookViewId="0">
      <selection activeCell="P12" sqref="P12"/>
    </sheetView>
  </sheetViews>
  <sheetFormatPr defaultRowHeight="14.5" x14ac:dyDescent="0.35"/>
  <cols>
    <col min="6" max="6" width="12.1796875" customWidth="1"/>
  </cols>
  <sheetData>
    <row r="3" spans="4:9" x14ac:dyDescent="0.35">
      <c r="I3" t="s">
        <v>59</v>
      </c>
    </row>
    <row r="4" spans="4:9" x14ac:dyDescent="0.35">
      <c r="F4" s="4" t="s">
        <v>63</v>
      </c>
      <c r="G4" s="4">
        <v>6.96</v>
      </c>
    </row>
    <row r="6" spans="4:9" x14ac:dyDescent="0.35">
      <c r="D6" s="4" t="s">
        <v>56</v>
      </c>
      <c r="E6" s="4" t="s">
        <v>53</v>
      </c>
      <c r="F6" s="4" t="s">
        <v>51</v>
      </c>
      <c r="G6" s="4" t="s">
        <v>61</v>
      </c>
      <c r="H6" s="4" t="s">
        <v>62</v>
      </c>
    </row>
    <row r="7" spans="4:9" x14ac:dyDescent="0.35">
      <c r="D7" s="4">
        <v>4</v>
      </c>
      <c r="E7" s="4" t="s">
        <v>52</v>
      </c>
      <c r="F7" s="4">
        <v>6.99</v>
      </c>
      <c r="G7" s="4">
        <f>F7-$G$4</f>
        <v>3.0000000000000249E-2</v>
      </c>
      <c r="H7" s="4"/>
    </row>
    <row r="8" spans="4:9" x14ac:dyDescent="0.35">
      <c r="D8" s="4">
        <v>9</v>
      </c>
      <c r="E8" s="4" t="s">
        <v>54</v>
      </c>
      <c r="F8" s="4">
        <v>6.79</v>
      </c>
      <c r="G8" s="4">
        <f t="shared" ref="G8:G12" si="0">F8-$G$4</f>
        <v>-0.16999999999999993</v>
      </c>
      <c r="H8" s="4"/>
    </row>
    <row r="9" spans="4:9" x14ac:dyDescent="0.35">
      <c r="D9" s="4">
        <v>12</v>
      </c>
      <c r="E9" s="4" t="s">
        <v>55</v>
      </c>
      <c r="F9" s="4">
        <v>7.26</v>
      </c>
      <c r="G9" s="4">
        <f t="shared" si="0"/>
        <v>0.29999999999999982</v>
      </c>
      <c r="H9" s="4"/>
    </row>
    <row r="10" spans="4:9" x14ac:dyDescent="0.35">
      <c r="D10" s="4"/>
      <c r="E10" s="4" t="s">
        <v>58</v>
      </c>
      <c r="F10" s="4">
        <v>6.89</v>
      </c>
      <c r="G10" s="4">
        <f t="shared" si="0"/>
        <v>-7.0000000000000284E-2</v>
      </c>
      <c r="H10" s="4">
        <f>G7+G8</f>
        <v>-0.13999999999999968</v>
      </c>
    </row>
    <row r="11" spans="4:9" x14ac:dyDescent="0.35">
      <c r="D11" s="4"/>
      <c r="E11" s="4" t="s">
        <v>60</v>
      </c>
      <c r="F11" s="4">
        <v>7.1</v>
      </c>
      <c r="G11" s="4">
        <f t="shared" si="0"/>
        <v>0.13999999999999968</v>
      </c>
      <c r="H11" s="4">
        <f>G8+G9</f>
        <v>0.12999999999999989</v>
      </c>
    </row>
    <row r="12" spans="4:9" x14ac:dyDescent="0.35">
      <c r="D12" s="4"/>
      <c r="E12" s="4" t="s">
        <v>57</v>
      </c>
      <c r="F12" s="4">
        <v>7.3</v>
      </c>
      <c r="G12" s="4">
        <f t="shared" si="0"/>
        <v>0.33999999999999986</v>
      </c>
      <c r="H12" s="4">
        <f>G7+G9</f>
        <v>0.33000000000000007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F7985-A012-40CC-9F1A-039713B93512}">
  <dimension ref="C3:AN161"/>
  <sheetViews>
    <sheetView tabSelected="1" topLeftCell="H133" zoomScale="70" zoomScaleNormal="70" workbookViewId="0">
      <selection activeCell="X154" sqref="W154:X154"/>
    </sheetView>
  </sheetViews>
  <sheetFormatPr defaultRowHeight="14.5" x14ac:dyDescent="0.35"/>
  <cols>
    <col min="9" max="9" width="14.08984375" customWidth="1"/>
    <col min="10" max="10" width="13.453125" customWidth="1"/>
    <col min="11" max="11" width="14.6328125" customWidth="1"/>
    <col min="12" max="12" width="15.36328125" customWidth="1"/>
    <col min="17" max="17" width="14.1796875" customWidth="1"/>
    <col min="18" max="18" width="15.08984375" customWidth="1"/>
    <col min="19" max="19" width="12.90625" customWidth="1"/>
    <col min="20" max="20" width="11" customWidth="1"/>
    <col min="21" max="21" width="12.7265625" customWidth="1"/>
    <col min="29" max="30" width="14.1796875" customWidth="1"/>
    <col min="31" max="31" width="17" customWidth="1"/>
  </cols>
  <sheetData>
    <row r="3" spans="3:40" x14ac:dyDescent="0.35"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7" spans="3:40" ht="15" thickBot="1" x14ac:dyDescent="0.4"/>
    <row r="8" spans="3:40" x14ac:dyDescent="0.35">
      <c r="F8" s="6" t="s">
        <v>101</v>
      </c>
      <c r="G8" s="7"/>
      <c r="H8" s="15" t="s">
        <v>110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8"/>
    </row>
    <row r="9" spans="3:40" x14ac:dyDescent="0.35">
      <c r="F9" s="9" t="s">
        <v>8</v>
      </c>
      <c r="Y9" t="s">
        <v>8</v>
      </c>
      <c r="AE9" s="11"/>
    </row>
    <row r="10" spans="3:40" x14ac:dyDescent="0.35">
      <c r="F10" s="9" t="s">
        <v>64</v>
      </c>
      <c r="G10" t="s">
        <v>65</v>
      </c>
      <c r="H10" t="s">
        <v>66</v>
      </c>
      <c r="I10" t="s">
        <v>85</v>
      </c>
      <c r="J10" t="s">
        <v>93</v>
      </c>
      <c r="K10" t="s">
        <v>94</v>
      </c>
      <c r="L10" t="s">
        <v>86</v>
      </c>
      <c r="M10" t="s">
        <v>87</v>
      </c>
      <c r="N10" t="s">
        <v>95</v>
      </c>
      <c r="O10" t="s">
        <v>88</v>
      </c>
      <c r="P10" t="s">
        <v>96</v>
      </c>
      <c r="Q10" t="s">
        <v>89</v>
      </c>
      <c r="R10" t="s">
        <v>97</v>
      </c>
      <c r="S10" t="s">
        <v>98</v>
      </c>
      <c r="T10" t="s">
        <v>90</v>
      </c>
      <c r="U10" t="s">
        <v>99</v>
      </c>
      <c r="V10" t="s">
        <v>91</v>
      </c>
      <c r="W10" t="s">
        <v>92</v>
      </c>
      <c r="Y10" t="s">
        <v>64</v>
      </c>
      <c r="Z10" t="s">
        <v>65</v>
      </c>
      <c r="AA10" t="s">
        <v>66</v>
      </c>
      <c r="AB10" t="s">
        <v>1</v>
      </c>
      <c r="AC10" t="s">
        <v>67</v>
      </c>
      <c r="AD10" t="s">
        <v>68</v>
      </c>
      <c r="AE10" s="11" t="s">
        <v>69</v>
      </c>
    </row>
    <row r="11" spans="3:40" x14ac:dyDescent="0.35">
      <c r="F11" s="9">
        <v>1</v>
      </c>
      <c r="G11" t="s">
        <v>83</v>
      </c>
      <c r="H11">
        <v>1</v>
      </c>
      <c r="I11">
        <v>69</v>
      </c>
      <c r="J11">
        <v>1.06</v>
      </c>
      <c r="K11">
        <v>73.14</v>
      </c>
      <c r="L11">
        <v>-20.69</v>
      </c>
      <c r="M11">
        <v>106.3</v>
      </c>
      <c r="N11">
        <v>2.0099999999999998</v>
      </c>
      <c r="T11">
        <v>0</v>
      </c>
      <c r="U11">
        <v>0</v>
      </c>
      <c r="V11">
        <v>1</v>
      </c>
      <c r="W11">
        <v>1</v>
      </c>
      <c r="Y11">
        <v>1</v>
      </c>
      <c r="Z11" t="s">
        <v>83</v>
      </c>
      <c r="AA11">
        <v>1</v>
      </c>
      <c r="AB11" t="s">
        <v>84</v>
      </c>
      <c r="AC11">
        <v>0</v>
      </c>
      <c r="AD11">
        <v>0</v>
      </c>
      <c r="AE11" s="11">
        <v>0</v>
      </c>
    </row>
    <row r="12" spans="3:40" x14ac:dyDescent="0.35">
      <c r="F12" s="9">
        <v>2</v>
      </c>
      <c r="G12" t="s">
        <v>74</v>
      </c>
      <c r="H12">
        <v>1</v>
      </c>
      <c r="I12">
        <v>69</v>
      </c>
      <c r="J12">
        <v>1.0456799999999999</v>
      </c>
      <c r="K12">
        <v>72.152000000000001</v>
      </c>
      <c r="L12">
        <v>-22.76</v>
      </c>
      <c r="M12">
        <v>40</v>
      </c>
      <c r="N12">
        <v>10.19</v>
      </c>
      <c r="O12">
        <v>21.7</v>
      </c>
      <c r="P12">
        <v>12.7</v>
      </c>
      <c r="Q12">
        <v>0</v>
      </c>
      <c r="R12">
        <v>0</v>
      </c>
      <c r="T12">
        <v>0</v>
      </c>
      <c r="U12">
        <v>0</v>
      </c>
      <c r="V12">
        <v>1</v>
      </c>
      <c r="W12">
        <v>1</v>
      </c>
      <c r="Y12">
        <v>2</v>
      </c>
      <c r="Z12" t="s">
        <v>74</v>
      </c>
      <c r="AA12">
        <v>1</v>
      </c>
      <c r="AB12" t="s">
        <v>9</v>
      </c>
      <c r="AC12">
        <v>11.55</v>
      </c>
      <c r="AD12">
        <v>-0.14000000000000001</v>
      </c>
      <c r="AE12" s="11">
        <v>11.55</v>
      </c>
    </row>
    <row r="13" spans="3:40" x14ac:dyDescent="0.35">
      <c r="F13" s="9">
        <v>3</v>
      </c>
      <c r="G13" t="s">
        <v>77</v>
      </c>
      <c r="H13">
        <v>1</v>
      </c>
      <c r="I13">
        <v>69</v>
      </c>
      <c r="J13">
        <v>1.0130999999999999</v>
      </c>
      <c r="K13">
        <v>69.903999999999996</v>
      </c>
      <c r="L13">
        <v>-25.18</v>
      </c>
      <c r="M13">
        <v>65</v>
      </c>
      <c r="N13">
        <v>-5.99</v>
      </c>
      <c r="O13">
        <v>94.2</v>
      </c>
      <c r="P13">
        <v>19</v>
      </c>
      <c r="Q13">
        <v>0</v>
      </c>
      <c r="R13">
        <v>0</v>
      </c>
      <c r="T13">
        <v>0</v>
      </c>
      <c r="U13">
        <v>0</v>
      </c>
      <c r="V13">
        <v>1</v>
      </c>
      <c r="W13">
        <v>1</v>
      </c>
      <c r="Y13">
        <v>3</v>
      </c>
      <c r="Z13" t="s">
        <v>77</v>
      </c>
      <c r="AA13">
        <v>1</v>
      </c>
      <c r="AB13" t="s">
        <v>9</v>
      </c>
      <c r="AC13">
        <v>-1.21</v>
      </c>
      <c r="AD13">
        <v>-0.63</v>
      </c>
      <c r="AE13" s="11">
        <v>1.36</v>
      </c>
    </row>
    <row r="14" spans="3:40" x14ac:dyDescent="0.35">
      <c r="F14" s="9">
        <v>4</v>
      </c>
      <c r="G14" t="s">
        <v>70</v>
      </c>
      <c r="H14">
        <v>1</v>
      </c>
      <c r="I14">
        <v>69</v>
      </c>
      <c r="J14">
        <v>1.03505</v>
      </c>
      <c r="K14">
        <v>71.418000000000006</v>
      </c>
      <c r="L14">
        <v>-25.33</v>
      </c>
      <c r="O14">
        <v>47.8</v>
      </c>
      <c r="P14">
        <v>-3.9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1</v>
      </c>
      <c r="Y14">
        <v>4</v>
      </c>
      <c r="Z14" t="s">
        <v>70</v>
      </c>
      <c r="AA14">
        <v>1</v>
      </c>
      <c r="AB14" t="s">
        <v>11</v>
      </c>
      <c r="AC14">
        <v>-38.85</v>
      </c>
      <c r="AD14">
        <v>6.85</v>
      </c>
      <c r="AE14" s="11">
        <v>39.44</v>
      </c>
    </row>
    <row r="15" spans="3:40" x14ac:dyDescent="0.35">
      <c r="F15" s="9">
        <v>5</v>
      </c>
      <c r="G15" t="s">
        <v>79</v>
      </c>
      <c r="H15">
        <v>1</v>
      </c>
      <c r="I15">
        <v>69</v>
      </c>
      <c r="J15">
        <v>1.0364800000000001</v>
      </c>
      <c r="K15">
        <v>71.516999999999996</v>
      </c>
      <c r="L15">
        <v>-24.92</v>
      </c>
      <c r="O15">
        <v>7.6</v>
      </c>
      <c r="P15">
        <v>1.6</v>
      </c>
      <c r="Q15">
        <v>0</v>
      </c>
      <c r="R15">
        <v>0</v>
      </c>
      <c r="T15">
        <v>0</v>
      </c>
      <c r="U15">
        <v>0</v>
      </c>
      <c r="V15">
        <v>1</v>
      </c>
      <c r="W15">
        <v>1</v>
      </c>
      <c r="Y15">
        <v>5</v>
      </c>
      <c r="Z15" t="s">
        <v>79</v>
      </c>
      <c r="AA15">
        <v>1</v>
      </c>
      <c r="AB15" t="s">
        <v>11</v>
      </c>
      <c r="AC15">
        <v>2.11</v>
      </c>
      <c r="AD15">
        <v>21.81</v>
      </c>
      <c r="AE15" s="11">
        <v>21.91</v>
      </c>
    </row>
    <row r="16" spans="3:40" x14ac:dyDescent="0.35">
      <c r="F16" s="9">
        <v>6</v>
      </c>
      <c r="G16" t="s">
        <v>71</v>
      </c>
      <c r="H16">
        <v>1</v>
      </c>
      <c r="I16">
        <v>13.8</v>
      </c>
      <c r="J16">
        <v>1.0843</v>
      </c>
      <c r="K16">
        <v>14.962999999999999</v>
      </c>
      <c r="L16">
        <v>-31.01</v>
      </c>
      <c r="M16">
        <v>0</v>
      </c>
      <c r="N16">
        <v>68.14</v>
      </c>
      <c r="O16">
        <v>11.2</v>
      </c>
      <c r="P16">
        <v>7.5</v>
      </c>
      <c r="Q16">
        <v>0</v>
      </c>
      <c r="R16">
        <v>0</v>
      </c>
      <c r="T16">
        <v>0</v>
      </c>
      <c r="U16">
        <v>0</v>
      </c>
      <c r="V16">
        <v>1</v>
      </c>
      <c r="W16">
        <v>1</v>
      </c>
      <c r="Y16">
        <v>6</v>
      </c>
      <c r="Z16" t="s">
        <v>71</v>
      </c>
      <c r="AA16">
        <v>1</v>
      </c>
      <c r="AB16" t="s">
        <v>9</v>
      </c>
      <c r="AC16">
        <v>3.69</v>
      </c>
      <c r="AD16">
        <v>-3.08</v>
      </c>
      <c r="AE16" s="11">
        <v>4.8</v>
      </c>
    </row>
    <row r="17" spans="6:31" x14ac:dyDescent="0.35">
      <c r="F17" s="9">
        <v>7</v>
      </c>
      <c r="G17" t="s">
        <v>73</v>
      </c>
      <c r="H17">
        <v>1</v>
      </c>
      <c r="I17">
        <v>13.8</v>
      </c>
      <c r="J17">
        <v>1.0629900000000001</v>
      </c>
      <c r="K17">
        <v>14.669</v>
      </c>
      <c r="L17">
        <v>-30.69</v>
      </c>
      <c r="O17">
        <v>0</v>
      </c>
      <c r="P17">
        <v>0</v>
      </c>
      <c r="Q17">
        <v>0</v>
      </c>
      <c r="R17">
        <v>0</v>
      </c>
      <c r="T17">
        <v>0</v>
      </c>
      <c r="U17">
        <v>0</v>
      </c>
      <c r="V17">
        <v>1</v>
      </c>
      <c r="W17">
        <v>1</v>
      </c>
      <c r="Y17">
        <v>7</v>
      </c>
      <c r="Z17" t="s">
        <v>73</v>
      </c>
      <c r="AA17">
        <v>1</v>
      </c>
      <c r="AB17" t="s">
        <v>11</v>
      </c>
      <c r="AC17">
        <v>9.57</v>
      </c>
      <c r="AD17">
        <v>19.16</v>
      </c>
      <c r="AE17" s="11">
        <v>21.42</v>
      </c>
    </row>
    <row r="18" spans="6:31" x14ac:dyDescent="0.35">
      <c r="F18" s="9">
        <v>8</v>
      </c>
      <c r="G18" t="s">
        <v>80</v>
      </c>
      <c r="H18">
        <v>1</v>
      </c>
      <c r="I18">
        <v>18</v>
      </c>
      <c r="J18">
        <v>1.1062700000000001</v>
      </c>
      <c r="K18">
        <v>19.913</v>
      </c>
      <c r="L18">
        <v>-30.53</v>
      </c>
      <c r="M18">
        <v>0</v>
      </c>
      <c r="N18">
        <v>36.44</v>
      </c>
      <c r="T18">
        <v>0</v>
      </c>
      <c r="U18">
        <v>0</v>
      </c>
      <c r="V18">
        <v>1</v>
      </c>
      <c r="W18">
        <v>1</v>
      </c>
      <c r="Y18">
        <v>8</v>
      </c>
      <c r="Z18" t="s">
        <v>80</v>
      </c>
      <c r="AA18">
        <v>1</v>
      </c>
      <c r="AB18" t="s">
        <v>9</v>
      </c>
      <c r="AC18">
        <v>-1.93</v>
      </c>
      <c r="AD18">
        <v>-3.57</v>
      </c>
      <c r="AE18" s="11">
        <v>4.0599999999999996</v>
      </c>
    </row>
    <row r="19" spans="6:31" x14ac:dyDescent="0.35">
      <c r="F19" s="9">
        <v>9</v>
      </c>
      <c r="G19" t="s">
        <v>72</v>
      </c>
      <c r="H19">
        <v>1</v>
      </c>
      <c r="I19">
        <v>13.8</v>
      </c>
      <c r="J19">
        <v>1.0619000000000001</v>
      </c>
      <c r="K19">
        <v>14.654</v>
      </c>
      <c r="L19">
        <v>-30.97</v>
      </c>
      <c r="O19">
        <v>29.5</v>
      </c>
      <c r="P19">
        <v>16.600000000000001</v>
      </c>
      <c r="Q19">
        <v>0</v>
      </c>
      <c r="R19">
        <v>0</v>
      </c>
      <c r="S19">
        <v>21.43</v>
      </c>
      <c r="T19">
        <v>0</v>
      </c>
      <c r="U19">
        <v>0</v>
      </c>
      <c r="V19">
        <v>1</v>
      </c>
      <c r="W19">
        <v>1</v>
      </c>
      <c r="Y19">
        <v>9</v>
      </c>
      <c r="Z19" t="s">
        <v>72</v>
      </c>
      <c r="AA19">
        <v>1</v>
      </c>
      <c r="AB19" t="s">
        <v>11</v>
      </c>
      <c r="AC19">
        <v>-16.579999999999998</v>
      </c>
      <c r="AD19">
        <v>-5.0999999999999996</v>
      </c>
      <c r="AE19" s="11">
        <v>17.350000000000001</v>
      </c>
    </row>
    <row r="20" spans="6:31" x14ac:dyDescent="0.35">
      <c r="F20" s="9">
        <v>10</v>
      </c>
      <c r="G20" t="s">
        <v>75</v>
      </c>
      <c r="H20">
        <v>1</v>
      </c>
      <c r="I20">
        <v>13.8</v>
      </c>
      <c r="J20">
        <v>1.0581700000000001</v>
      </c>
      <c r="K20">
        <v>14.603</v>
      </c>
      <c r="L20">
        <v>-31.1</v>
      </c>
      <c r="O20">
        <v>9</v>
      </c>
      <c r="P20">
        <v>5.8</v>
      </c>
      <c r="Q20">
        <v>0</v>
      </c>
      <c r="R20">
        <v>0</v>
      </c>
      <c r="T20">
        <v>0</v>
      </c>
      <c r="U20">
        <v>0</v>
      </c>
      <c r="V20">
        <v>1</v>
      </c>
      <c r="W20">
        <v>1</v>
      </c>
      <c r="Y20">
        <v>10</v>
      </c>
      <c r="Z20" t="s">
        <v>75</v>
      </c>
      <c r="AA20">
        <v>1</v>
      </c>
      <c r="AB20" t="s">
        <v>11</v>
      </c>
      <c r="AC20">
        <v>-1.58</v>
      </c>
      <c r="AD20">
        <v>-2.74</v>
      </c>
      <c r="AE20" s="11">
        <v>3.16</v>
      </c>
    </row>
    <row r="21" spans="6:31" x14ac:dyDescent="0.35">
      <c r="F21" s="9">
        <v>11</v>
      </c>
      <c r="G21" t="s">
        <v>82</v>
      </c>
      <c r="H21">
        <v>1</v>
      </c>
      <c r="I21">
        <v>13.8</v>
      </c>
      <c r="J21">
        <v>1.0606199999999999</v>
      </c>
      <c r="K21">
        <v>14.635999999999999</v>
      </c>
      <c r="L21">
        <v>-30.78</v>
      </c>
      <c r="O21">
        <v>3.5</v>
      </c>
      <c r="P21">
        <v>1.8</v>
      </c>
      <c r="Q21">
        <v>0</v>
      </c>
      <c r="R21">
        <v>0</v>
      </c>
      <c r="T21">
        <v>0</v>
      </c>
      <c r="U21">
        <v>0</v>
      </c>
      <c r="V21">
        <v>1</v>
      </c>
      <c r="W21">
        <v>1</v>
      </c>
      <c r="Y21">
        <v>11</v>
      </c>
      <c r="Z21" t="s">
        <v>82</v>
      </c>
      <c r="AA21">
        <v>1</v>
      </c>
      <c r="AB21" t="s">
        <v>11</v>
      </c>
      <c r="AC21">
        <v>-3.69</v>
      </c>
      <c r="AD21">
        <v>9.39</v>
      </c>
      <c r="AE21" s="11">
        <v>10.09</v>
      </c>
    </row>
    <row r="22" spans="6:31" x14ac:dyDescent="0.35">
      <c r="F22" s="9">
        <v>12</v>
      </c>
      <c r="G22" t="s">
        <v>76</v>
      </c>
      <c r="H22">
        <v>1</v>
      </c>
      <c r="I22">
        <v>13.8</v>
      </c>
      <c r="J22">
        <v>1.05901</v>
      </c>
      <c r="K22">
        <v>14.614000000000001</v>
      </c>
      <c r="L22">
        <v>-30.94</v>
      </c>
      <c r="O22">
        <v>6.1</v>
      </c>
      <c r="P22">
        <v>1.6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1</v>
      </c>
      <c r="Y22">
        <v>12</v>
      </c>
      <c r="Z22" t="s">
        <v>76</v>
      </c>
      <c r="AA22">
        <v>1</v>
      </c>
      <c r="AB22" t="s">
        <v>11</v>
      </c>
      <c r="AC22">
        <v>-3.73</v>
      </c>
      <c r="AD22">
        <v>6.86</v>
      </c>
      <c r="AE22" s="11">
        <v>7.81</v>
      </c>
    </row>
    <row r="23" spans="6:31" x14ac:dyDescent="0.35">
      <c r="F23" s="9">
        <v>13</v>
      </c>
      <c r="G23" t="s">
        <v>78</v>
      </c>
      <c r="H23">
        <v>1</v>
      </c>
      <c r="I23">
        <v>13.8</v>
      </c>
      <c r="J23">
        <v>1.05585</v>
      </c>
      <c r="K23">
        <v>14.571</v>
      </c>
      <c r="L23">
        <v>-31.04</v>
      </c>
      <c r="O23">
        <v>13.5</v>
      </c>
      <c r="P23">
        <v>5.8</v>
      </c>
      <c r="Q23">
        <v>0</v>
      </c>
      <c r="R23">
        <v>0</v>
      </c>
      <c r="T23">
        <v>0</v>
      </c>
      <c r="U23">
        <v>0</v>
      </c>
      <c r="V23">
        <v>1</v>
      </c>
      <c r="W23">
        <v>1</v>
      </c>
      <c r="Y23">
        <v>13</v>
      </c>
      <c r="Z23" t="s">
        <v>78</v>
      </c>
      <c r="AA23">
        <v>1</v>
      </c>
      <c r="AB23" t="s">
        <v>11</v>
      </c>
      <c r="AC23">
        <v>-6.94</v>
      </c>
      <c r="AD23">
        <v>12.63</v>
      </c>
      <c r="AE23" s="11">
        <v>14.41</v>
      </c>
    </row>
    <row r="24" spans="6:31" x14ac:dyDescent="0.35">
      <c r="F24" s="9">
        <v>14</v>
      </c>
      <c r="G24" t="s">
        <v>81</v>
      </c>
      <c r="H24">
        <v>1</v>
      </c>
      <c r="I24">
        <v>13.8</v>
      </c>
      <c r="J24">
        <v>1.0489200000000001</v>
      </c>
      <c r="K24">
        <v>14.475</v>
      </c>
      <c r="L24">
        <v>-31.85</v>
      </c>
      <c r="O24">
        <v>14.9</v>
      </c>
      <c r="P24">
        <v>5</v>
      </c>
      <c r="Q24">
        <v>0</v>
      </c>
      <c r="R24">
        <v>0</v>
      </c>
      <c r="T24">
        <v>0</v>
      </c>
      <c r="U24">
        <v>0</v>
      </c>
      <c r="V24">
        <v>1</v>
      </c>
      <c r="W24">
        <v>1</v>
      </c>
      <c r="Y24">
        <v>14</v>
      </c>
      <c r="Z24" t="s">
        <v>81</v>
      </c>
      <c r="AA24">
        <v>1</v>
      </c>
      <c r="AB24" t="s">
        <v>11</v>
      </c>
      <c r="AC24">
        <v>-3.31</v>
      </c>
      <c r="AD24">
        <v>-3.5</v>
      </c>
      <c r="AE24" s="11">
        <v>4.82</v>
      </c>
    </row>
    <row r="25" spans="6:31" x14ac:dyDescent="0.35">
      <c r="F25" s="9"/>
      <c r="AE25" s="11"/>
    </row>
    <row r="26" spans="6:31" x14ac:dyDescent="0.35">
      <c r="F26" s="9"/>
      <c r="AE26" s="11"/>
    </row>
    <row r="27" spans="6:31" x14ac:dyDescent="0.35">
      <c r="F27" s="9" t="s">
        <v>102</v>
      </c>
      <c r="AE27" s="11"/>
    </row>
    <row r="28" spans="6:31" x14ac:dyDescent="0.35">
      <c r="F28" s="9" t="s">
        <v>8</v>
      </c>
      <c r="Y28" t="s">
        <v>8</v>
      </c>
      <c r="AE28" s="11"/>
    </row>
    <row r="29" spans="6:31" x14ac:dyDescent="0.35">
      <c r="F29" s="9" t="s">
        <v>64</v>
      </c>
      <c r="G29" t="s">
        <v>65</v>
      </c>
      <c r="H29" t="s">
        <v>66</v>
      </c>
      <c r="I29" t="s">
        <v>85</v>
      </c>
      <c r="J29" t="s">
        <v>93</v>
      </c>
      <c r="K29" t="s">
        <v>94</v>
      </c>
      <c r="L29" t="s">
        <v>86</v>
      </c>
      <c r="M29" t="s">
        <v>87</v>
      </c>
      <c r="N29" t="s">
        <v>95</v>
      </c>
      <c r="O29" t="s">
        <v>88</v>
      </c>
      <c r="P29" t="s">
        <v>96</v>
      </c>
      <c r="Q29" t="s">
        <v>89</v>
      </c>
      <c r="R29" t="s">
        <v>97</v>
      </c>
      <c r="S29" t="s">
        <v>98</v>
      </c>
      <c r="T29" t="s">
        <v>90</v>
      </c>
      <c r="U29" t="s">
        <v>99</v>
      </c>
      <c r="V29" t="s">
        <v>91</v>
      </c>
      <c r="W29" t="s">
        <v>92</v>
      </c>
      <c r="Y29" t="s">
        <v>64</v>
      </c>
      <c r="Z29" t="s">
        <v>65</v>
      </c>
      <c r="AA29" t="s">
        <v>66</v>
      </c>
      <c r="AB29" t="s">
        <v>1</v>
      </c>
      <c r="AC29" t="s">
        <v>67</v>
      </c>
      <c r="AD29" t="s">
        <v>68</v>
      </c>
      <c r="AE29" s="11" t="s">
        <v>69</v>
      </c>
    </row>
    <row r="30" spans="6:31" x14ac:dyDescent="0.35">
      <c r="F30" s="9">
        <v>1</v>
      </c>
      <c r="G30" t="s">
        <v>83</v>
      </c>
      <c r="H30">
        <v>1</v>
      </c>
      <c r="I30">
        <v>69</v>
      </c>
      <c r="J30">
        <v>1.06</v>
      </c>
      <c r="K30">
        <v>73.14</v>
      </c>
      <c r="L30">
        <v>-20.69</v>
      </c>
      <c r="M30">
        <v>160.78</v>
      </c>
      <c r="N30">
        <v>-9.59</v>
      </c>
      <c r="T30">
        <v>0</v>
      </c>
      <c r="U30">
        <v>0</v>
      </c>
      <c r="V30">
        <v>1</v>
      </c>
      <c r="W30">
        <v>1</v>
      </c>
      <c r="Y30">
        <v>1</v>
      </c>
      <c r="Z30" t="s">
        <v>83</v>
      </c>
      <c r="AA30">
        <v>1</v>
      </c>
      <c r="AB30" t="s">
        <v>84</v>
      </c>
      <c r="AC30">
        <v>0</v>
      </c>
      <c r="AD30">
        <v>0</v>
      </c>
      <c r="AE30" s="11">
        <v>0</v>
      </c>
    </row>
    <row r="31" spans="6:31" x14ac:dyDescent="0.35">
      <c r="F31" s="9">
        <v>2</v>
      </c>
      <c r="G31" t="s">
        <v>74</v>
      </c>
      <c r="H31">
        <v>1</v>
      </c>
      <c r="I31">
        <v>69</v>
      </c>
      <c r="J31">
        <v>1.0449999999999999</v>
      </c>
      <c r="K31">
        <v>72.105000000000004</v>
      </c>
      <c r="L31">
        <v>-23.87</v>
      </c>
      <c r="M31">
        <v>40</v>
      </c>
      <c r="N31">
        <v>7.48</v>
      </c>
      <c r="O31">
        <v>21.7</v>
      </c>
      <c r="P31">
        <v>12.7</v>
      </c>
      <c r="Q31">
        <v>0</v>
      </c>
      <c r="R31">
        <v>0</v>
      </c>
      <c r="T31">
        <v>0</v>
      </c>
      <c r="U31">
        <v>0</v>
      </c>
      <c r="V31">
        <v>1</v>
      </c>
      <c r="W31">
        <v>1</v>
      </c>
      <c r="Y31">
        <v>2</v>
      </c>
      <c r="Z31" t="s">
        <v>74</v>
      </c>
      <c r="AA31">
        <v>1</v>
      </c>
      <c r="AB31" t="s">
        <v>9</v>
      </c>
      <c r="AC31">
        <v>0</v>
      </c>
      <c r="AD31">
        <v>0</v>
      </c>
      <c r="AE31" s="11">
        <v>0</v>
      </c>
    </row>
    <row r="32" spans="6:31" x14ac:dyDescent="0.35">
      <c r="F32" s="9">
        <v>3</v>
      </c>
      <c r="G32" t="s">
        <v>77</v>
      </c>
      <c r="H32">
        <v>1</v>
      </c>
      <c r="I32">
        <v>69</v>
      </c>
      <c r="J32">
        <v>1.01755</v>
      </c>
      <c r="K32">
        <v>70.210999999999999</v>
      </c>
      <c r="L32">
        <v>-27.47</v>
      </c>
      <c r="M32">
        <v>65</v>
      </c>
      <c r="N32">
        <v>0</v>
      </c>
      <c r="O32">
        <v>94.2</v>
      </c>
      <c r="P32">
        <v>19</v>
      </c>
      <c r="Q32">
        <v>0</v>
      </c>
      <c r="R32">
        <v>0</v>
      </c>
      <c r="T32">
        <v>0</v>
      </c>
      <c r="U32">
        <v>0</v>
      </c>
      <c r="V32">
        <v>1</v>
      </c>
      <c r="W32">
        <v>1</v>
      </c>
      <c r="Y32">
        <v>3</v>
      </c>
      <c r="Z32" t="s">
        <v>77</v>
      </c>
      <c r="AA32">
        <v>1</v>
      </c>
      <c r="AB32" t="s">
        <v>100</v>
      </c>
      <c r="AC32">
        <v>0</v>
      </c>
      <c r="AD32">
        <v>0</v>
      </c>
      <c r="AE32" s="11">
        <v>0</v>
      </c>
    </row>
    <row r="33" spans="6:31" x14ac:dyDescent="0.35">
      <c r="F33" s="9">
        <v>4</v>
      </c>
      <c r="G33" t="s">
        <v>70</v>
      </c>
      <c r="H33">
        <v>1</v>
      </c>
      <c r="I33">
        <v>69</v>
      </c>
      <c r="J33">
        <v>1.03294</v>
      </c>
      <c r="K33">
        <v>71.272999999999996</v>
      </c>
      <c r="L33">
        <v>-28.42</v>
      </c>
      <c r="O33">
        <v>47.8</v>
      </c>
      <c r="P33">
        <v>-3.9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1</v>
      </c>
      <c r="Y33">
        <v>4</v>
      </c>
      <c r="Z33" t="s">
        <v>70</v>
      </c>
      <c r="AA33">
        <v>1</v>
      </c>
      <c r="AB33" t="s">
        <v>11</v>
      </c>
      <c r="AC33">
        <v>0</v>
      </c>
      <c r="AD33">
        <v>0</v>
      </c>
      <c r="AE33" s="11">
        <v>0</v>
      </c>
    </row>
    <row r="34" spans="6:31" x14ac:dyDescent="0.35">
      <c r="F34" s="9">
        <v>5</v>
      </c>
      <c r="G34" t="s">
        <v>79</v>
      </c>
      <c r="H34">
        <v>1</v>
      </c>
      <c r="I34">
        <v>69</v>
      </c>
      <c r="J34">
        <v>1.03762</v>
      </c>
      <c r="K34">
        <v>71.596000000000004</v>
      </c>
      <c r="L34">
        <v>-27.47</v>
      </c>
      <c r="O34">
        <v>7.6</v>
      </c>
      <c r="P34">
        <v>1.6</v>
      </c>
      <c r="Q34">
        <v>0</v>
      </c>
      <c r="R34">
        <v>0</v>
      </c>
      <c r="T34">
        <v>0</v>
      </c>
      <c r="U34">
        <v>0</v>
      </c>
      <c r="V34">
        <v>1</v>
      </c>
      <c r="W34">
        <v>1</v>
      </c>
      <c r="Y34">
        <v>5</v>
      </c>
      <c r="Z34" t="s">
        <v>79</v>
      </c>
      <c r="AA34">
        <v>1</v>
      </c>
      <c r="AB34" t="s">
        <v>11</v>
      </c>
      <c r="AC34">
        <v>0</v>
      </c>
      <c r="AD34">
        <v>0</v>
      </c>
      <c r="AE34" s="11">
        <v>0</v>
      </c>
    </row>
    <row r="35" spans="6:31" x14ac:dyDescent="0.35">
      <c r="F35" s="9">
        <v>6</v>
      </c>
      <c r="G35" t="s">
        <v>71</v>
      </c>
      <c r="H35">
        <v>1</v>
      </c>
      <c r="I35">
        <v>13.8</v>
      </c>
      <c r="J35">
        <v>1.07</v>
      </c>
      <c r="K35">
        <v>14.766</v>
      </c>
      <c r="L35">
        <v>-35.130000000000003</v>
      </c>
      <c r="M35">
        <v>0</v>
      </c>
      <c r="N35">
        <v>37.46</v>
      </c>
      <c r="O35">
        <v>11.2</v>
      </c>
      <c r="P35">
        <v>7.5</v>
      </c>
      <c r="Q35">
        <v>0</v>
      </c>
      <c r="R35">
        <v>0</v>
      </c>
      <c r="T35">
        <v>0</v>
      </c>
      <c r="U35">
        <v>0</v>
      </c>
      <c r="V35">
        <v>1</v>
      </c>
      <c r="W35">
        <v>1</v>
      </c>
      <c r="Y35">
        <v>6</v>
      </c>
      <c r="Z35" t="s">
        <v>71</v>
      </c>
      <c r="AA35">
        <v>1</v>
      </c>
      <c r="AB35" t="s">
        <v>9</v>
      </c>
      <c r="AC35">
        <v>0</v>
      </c>
      <c r="AD35">
        <v>0</v>
      </c>
      <c r="AE35" s="11">
        <v>0</v>
      </c>
    </row>
    <row r="36" spans="6:31" x14ac:dyDescent="0.35">
      <c r="F36" s="9">
        <v>7</v>
      </c>
      <c r="G36" t="s">
        <v>73</v>
      </c>
      <c r="H36">
        <v>1</v>
      </c>
      <c r="I36">
        <v>13.8</v>
      </c>
      <c r="J36">
        <v>1.06328</v>
      </c>
      <c r="K36">
        <v>14.673</v>
      </c>
      <c r="L36">
        <v>-34.590000000000003</v>
      </c>
      <c r="O36">
        <v>0</v>
      </c>
      <c r="P36">
        <v>0</v>
      </c>
      <c r="Q36">
        <v>0</v>
      </c>
      <c r="R36">
        <v>0</v>
      </c>
      <c r="T36">
        <v>0</v>
      </c>
      <c r="U36">
        <v>0</v>
      </c>
      <c r="V36">
        <v>1</v>
      </c>
      <c r="W36">
        <v>1</v>
      </c>
      <c r="Y36">
        <v>7</v>
      </c>
      <c r="Z36" t="s">
        <v>73</v>
      </c>
      <c r="AA36">
        <v>1</v>
      </c>
      <c r="AB36" t="s">
        <v>11</v>
      </c>
      <c r="AC36">
        <v>0</v>
      </c>
      <c r="AD36">
        <v>0</v>
      </c>
      <c r="AE36" s="11">
        <v>0</v>
      </c>
    </row>
    <row r="37" spans="6:31" x14ac:dyDescent="0.35">
      <c r="F37" s="9">
        <v>8</v>
      </c>
      <c r="G37" t="s">
        <v>80</v>
      </c>
      <c r="H37">
        <v>1</v>
      </c>
      <c r="I37">
        <v>18</v>
      </c>
      <c r="J37">
        <v>1.0900000000000001</v>
      </c>
      <c r="K37">
        <v>19.62</v>
      </c>
      <c r="L37">
        <v>-34.590000000000003</v>
      </c>
      <c r="M37">
        <v>0</v>
      </c>
      <c r="N37">
        <v>25.39</v>
      </c>
      <c r="T37">
        <v>0</v>
      </c>
      <c r="U37">
        <v>0</v>
      </c>
      <c r="V37">
        <v>1</v>
      </c>
      <c r="W37">
        <v>1</v>
      </c>
      <c r="Y37">
        <v>8</v>
      </c>
      <c r="Z37" t="s">
        <v>80</v>
      </c>
      <c r="AA37">
        <v>1</v>
      </c>
      <c r="AB37" t="s">
        <v>9</v>
      </c>
      <c r="AC37">
        <v>0</v>
      </c>
      <c r="AD37">
        <v>0</v>
      </c>
      <c r="AE37" s="11">
        <v>0</v>
      </c>
    </row>
    <row r="38" spans="6:31" x14ac:dyDescent="0.35">
      <c r="F38" s="9">
        <v>9</v>
      </c>
      <c r="G38" t="s">
        <v>72</v>
      </c>
      <c r="H38">
        <v>1</v>
      </c>
      <c r="I38">
        <v>13.8</v>
      </c>
      <c r="J38">
        <v>1.05453</v>
      </c>
      <c r="K38">
        <v>14.553000000000001</v>
      </c>
      <c r="L38">
        <v>-35.71</v>
      </c>
      <c r="O38">
        <v>29.5</v>
      </c>
      <c r="P38">
        <v>16.600000000000001</v>
      </c>
      <c r="Q38">
        <v>0</v>
      </c>
      <c r="R38">
        <v>0</v>
      </c>
      <c r="S38">
        <v>21.13</v>
      </c>
      <c r="T38">
        <v>0</v>
      </c>
      <c r="U38">
        <v>0</v>
      </c>
      <c r="V38">
        <v>1</v>
      </c>
      <c r="W38">
        <v>1</v>
      </c>
      <c r="Y38">
        <v>9</v>
      </c>
      <c r="Z38" t="s">
        <v>72</v>
      </c>
      <c r="AA38">
        <v>1</v>
      </c>
      <c r="AB38" t="s">
        <v>11</v>
      </c>
      <c r="AC38">
        <v>0</v>
      </c>
      <c r="AD38">
        <v>0</v>
      </c>
      <c r="AE38" s="11">
        <v>0</v>
      </c>
    </row>
    <row r="39" spans="6:31" x14ac:dyDescent="0.35">
      <c r="F39" s="9">
        <v>10</v>
      </c>
      <c r="G39" t="s">
        <v>75</v>
      </c>
      <c r="H39">
        <v>1</v>
      </c>
      <c r="I39">
        <v>13.8</v>
      </c>
      <c r="J39">
        <v>1.0498499999999999</v>
      </c>
      <c r="K39">
        <v>14.488</v>
      </c>
      <c r="L39">
        <v>-35.89</v>
      </c>
      <c r="O39">
        <v>9</v>
      </c>
      <c r="P39">
        <v>5.8</v>
      </c>
      <c r="Q39">
        <v>0</v>
      </c>
      <c r="R39">
        <v>0</v>
      </c>
      <c r="T39">
        <v>0</v>
      </c>
      <c r="U39">
        <v>0</v>
      </c>
      <c r="V39">
        <v>1</v>
      </c>
      <c r="W39">
        <v>1</v>
      </c>
      <c r="Y39">
        <v>10</v>
      </c>
      <c r="Z39" t="s">
        <v>75</v>
      </c>
      <c r="AA39">
        <v>1</v>
      </c>
      <c r="AB39" t="s">
        <v>11</v>
      </c>
      <c r="AC39">
        <v>0</v>
      </c>
      <c r="AD39">
        <v>0</v>
      </c>
      <c r="AE39" s="11">
        <v>0</v>
      </c>
    </row>
    <row r="40" spans="6:31" x14ac:dyDescent="0.35">
      <c r="F40" s="9">
        <v>11</v>
      </c>
      <c r="G40" t="s">
        <v>82</v>
      </c>
      <c r="H40">
        <v>1</v>
      </c>
      <c r="I40">
        <v>13.8</v>
      </c>
      <c r="J40">
        <v>1.0563499999999999</v>
      </c>
      <c r="K40">
        <v>14.577999999999999</v>
      </c>
      <c r="L40">
        <v>-35.64</v>
      </c>
      <c r="O40">
        <v>3.5</v>
      </c>
      <c r="P40">
        <v>1.8</v>
      </c>
      <c r="Q40">
        <v>0</v>
      </c>
      <c r="R40">
        <v>0</v>
      </c>
      <c r="T40">
        <v>0</v>
      </c>
      <c r="U40">
        <v>0</v>
      </c>
      <c r="V40">
        <v>1</v>
      </c>
      <c r="W40">
        <v>1</v>
      </c>
      <c r="Y40">
        <v>11</v>
      </c>
      <c r="Z40" t="s">
        <v>82</v>
      </c>
      <c r="AA40">
        <v>1</v>
      </c>
      <c r="AB40" t="s">
        <v>11</v>
      </c>
      <c r="AC40">
        <v>0</v>
      </c>
      <c r="AD40">
        <v>0</v>
      </c>
      <c r="AE40" s="11">
        <v>0</v>
      </c>
    </row>
    <row r="41" spans="6:31" x14ac:dyDescent="0.35">
      <c r="F41" s="9">
        <v>12</v>
      </c>
      <c r="G41" t="s">
        <v>76</v>
      </c>
      <c r="H41">
        <v>1</v>
      </c>
      <c r="I41">
        <v>13.8</v>
      </c>
      <c r="J41">
        <v>1.0550600000000001</v>
      </c>
      <c r="K41">
        <v>14.56</v>
      </c>
      <c r="L41">
        <v>-35.979999999999997</v>
      </c>
      <c r="O41">
        <v>6.1</v>
      </c>
      <c r="P41">
        <v>1.6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1</v>
      </c>
      <c r="Y41">
        <v>12</v>
      </c>
      <c r="Z41" t="s">
        <v>76</v>
      </c>
      <c r="AA41">
        <v>1</v>
      </c>
      <c r="AB41" t="s">
        <v>11</v>
      </c>
      <c r="AC41">
        <v>0</v>
      </c>
      <c r="AD41">
        <v>0</v>
      </c>
      <c r="AE41" s="11">
        <v>0</v>
      </c>
    </row>
    <row r="42" spans="6:31" x14ac:dyDescent="0.35">
      <c r="F42" s="9">
        <v>13</v>
      </c>
      <c r="G42" t="s">
        <v>78</v>
      </c>
      <c r="H42">
        <v>1</v>
      </c>
      <c r="I42">
        <v>13.8</v>
      </c>
      <c r="J42">
        <v>1.0502</v>
      </c>
      <c r="K42">
        <v>14.493</v>
      </c>
      <c r="L42">
        <v>-36.049999999999997</v>
      </c>
      <c r="O42">
        <v>13.5</v>
      </c>
      <c r="P42">
        <v>5.8</v>
      </c>
      <c r="Q42">
        <v>0</v>
      </c>
      <c r="R42">
        <v>0</v>
      </c>
      <c r="T42">
        <v>0</v>
      </c>
      <c r="U42">
        <v>0</v>
      </c>
      <c r="V42">
        <v>1</v>
      </c>
      <c r="W42">
        <v>1</v>
      </c>
      <c r="Y42">
        <v>13</v>
      </c>
      <c r="Z42" t="s">
        <v>78</v>
      </c>
      <c r="AA42">
        <v>1</v>
      </c>
      <c r="AB42" t="s">
        <v>11</v>
      </c>
      <c r="AC42">
        <v>0</v>
      </c>
      <c r="AD42">
        <v>0</v>
      </c>
      <c r="AE42" s="11">
        <v>0</v>
      </c>
    </row>
    <row r="43" spans="6:31" ht="15" thickBot="1" x14ac:dyDescent="0.4">
      <c r="F43" s="12">
        <v>14</v>
      </c>
      <c r="G43" s="13" t="s">
        <v>81</v>
      </c>
      <c r="H43" s="13">
        <v>1</v>
      </c>
      <c r="I43" s="13">
        <v>13.8</v>
      </c>
      <c r="J43" s="13">
        <v>1.0346500000000001</v>
      </c>
      <c r="K43" s="13">
        <v>14.278</v>
      </c>
      <c r="L43" s="13">
        <v>-36.86</v>
      </c>
      <c r="M43" s="13"/>
      <c r="N43" s="13"/>
      <c r="O43" s="13">
        <v>14.9</v>
      </c>
      <c r="P43" s="13">
        <v>5</v>
      </c>
      <c r="Q43" s="13">
        <v>0</v>
      </c>
      <c r="R43" s="13">
        <v>0</v>
      </c>
      <c r="S43" s="13"/>
      <c r="T43" s="13">
        <v>0</v>
      </c>
      <c r="U43" s="13">
        <v>0</v>
      </c>
      <c r="V43" s="13">
        <v>1</v>
      </c>
      <c r="W43" s="13">
        <v>1</v>
      </c>
      <c r="X43" s="13"/>
      <c r="Y43" s="13">
        <v>14</v>
      </c>
      <c r="Z43" s="13" t="s">
        <v>81</v>
      </c>
      <c r="AA43" s="13">
        <v>1</v>
      </c>
      <c r="AB43" s="13" t="s">
        <v>11</v>
      </c>
      <c r="AC43" s="13">
        <v>0</v>
      </c>
      <c r="AD43" s="13">
        <v>0</v>
      </c>
      <c r="AE43" s="14">
        <v>0</v>
      </c>
    </row>
    <row r="46" spans="6:31" ht="15" thickBot="1" x14ac:dyDescent="0.4"/>
    <row r="47" spans="6:31" x14ac:dyDescent="0.35">
      <c r="F47" s="6" t="s">
        <v>103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8"/>
    </row>
    <row r="48" spans="6:31" x14ac:dyDescent="0.35">
      <c r="F48" s="9" t="s">
        <v>8</v>
      </c>
      <c r="R48" t="s">
        <v>8</v>
      </c>
      <c r="W48" s="11"/>
    </row>
    <row r="49" spans="6:23" x14ac:dyDescent="0.35">
      <c r="F49" s="9" t="s">
        <v>64</v>
      </c>
      <c r="G49" t="s">
        <v>65</v>
      </c>
      <c r="H49" t="s">
        <v>66</v>
      </c>
      <c r="I49" t="s">
        <v>85</v>
      </c>
      <c r="J49" t="s">
        <v>86</v>
      </c>
      <c r="K49" t="s">
        <v>87</v>
      </c>
      <c r="L49" t="s">
        <v>88</v>
      </c>
      <c r="M49" t="s">
        <v>89</v>
      </c>
      <c r="N49" t="s">
        <v>90</v>
      </c>
      <c r="O49" t="s">
        <v>91</v>
      </c>
      <c r="P49" t="s">
        <v>92</v>
      </c>
      <c r="R49" t="s">
        <v>64</v>
      </c>
      <c r="S49" t="s">
        <v>65</v>
      </c>
      <c r="T49" t="s">
        <v>66</v>
      </c>
      <c r="U49" t="s">
        <v>1</v>
      </c>
      <c r="V49" t="s">
        <v>67</v>
      </c>
      <c r="W49" s="11"/>
    </row>
    <row r="50" spans="6:23" x14ac:dyDescent="0.35">
      <c r="F50" s="9">
        <v>1</v>
      </c>
      <c r="G50" t="s">
        <v>83</v>
      </c>
      <c r="H50">
        <v>1</v>
      </c>
      <c r="I50">
        <v>69</v>
      </c>
      <c r="J50">
        <v>-20.69</v>
      </c>
      <c r="K50">
        <v>154</v>
      </c>
      <c r="N50">
        <v>0</v>
      </c>
      <c r="O50">
        <v>1</v>
      </c>
      <c r="P50">
        <v>1</v>
      </c>
      <c r="R50">
        <v>1</v>
      </c>
      <c r="S50" t="s">
        <v>83</v>
      </c>
      <c r="T50">
        <v>1</v>
      </c>
      <c r="U50" t="s">
        <v>84</v>
      </c>
      <c r="V50">
        <v>0</v>
      </c>
      <c r="W50" s="11"/>
    </row>
    <row r="51" spans="6:23" x14ac:dyDescent="0.35">
      <c r="F51" s="9">
        <v>2</v>
      </c>
      <c r="G51" t="s">
        <v>74</v>
      </c>
      <c r="H51">
        <v>1</v>
      </c>
      <c r="I51">
        <v>69</v>
      </c>
      <c r="J51">
        <v>-24.06</v>
      </c>
      <c r="K51">
        <v>40</v>
      </c>
      <c r="L51">
        <v>21.7</v>
      </c>
      <c r="M51">
        <v>0</v>
      </c>
      <c r="N51">
        <v>0</v>
      </c>
      <c r="O51">
        <v>1</v>
      </c>
      <c r="P51">
        <v>1</v>
      </c>
      <c r="R51">
        <v>2</v>
      </c>
      <c r="S51" t="s">
        <v>74</v>
      </c>
      <c r="T51">
        <v>1</v>
      </c>
      <c r="U51" t="s">
        <v>9</v>
      </c>
      <c r="V51">
        <v>0</v>
      </c>
      <c r="W51" s="11"/>
    </row>
    <row r="52" spans="6:23" x14ac:dyDescent="0.35">
      <c r="F52" s="9">
        <v>3</v>
      </c>
      <c r="G52" t="s">
        <v>77</v>
      </c>
      <c r="H52">
        <v>1</v>
      </c>
      <c r="I52">
        <v>69</v>
      </c>
      <c r="J52">
        <v>-28.07</v>
      </c>
      <c r="K52">
        <v>65</v>
      </c>
      <c r="L52">
        <v>94.2</v>
      </c>
      <c r="M52">
        <v>0</v>
      </c>
      <c r="N52">
        <v>0</v>
      </c>
      <c r="O52">
        <v>1</v>
      </c>
      <c r="P52">
        <v>1</v>
      </c>
      <c r="R52">
        <v>3</v>
      </c>
      <c r="S52" t="s">
        <v>77</v>
      </c>
      <c r="T52">
        <v>1</v>
      </c>
      <c r="U52" t="s">
        <v>9</v>
      </c>
      <c r="V52">
        <v>0</v>
      </c>
      <c r="W52" s="11"/>
    </row>
    <row r="53" spans="6:23" x14ac:dyDescent="0.35">
      <c r="F53" s="9">
        <v>4</v>
      </c>
      <c r="G53" t="s">
        <v>70</v>
      </c>
      <c r="H53">
        <v>1</v>
      </c>
      <c r="I53">
        <v>69</v>
      </c>
      <c r="J53">
        <v>-28.68</v>
      </c>
      <c r="L53">
        <v>47.8</v>
      </c>
      <c r="M53">
        <v>0</v>
      </c>
      <c r="N53">
        <v>0</v>
      </c>
      <c r="O53">
        <v>1</v>
      </c>
      <c r="P53">
        <v>1</v>
      </c>
      <c r="R53">
        <v>4</v>
      </c>
      <c r="S53" t="s">
        <v>70</v>
      </c>
      <c r="T53">
        <v>1</v>
      </c>
      <c r="U53" t="s">
        <v>11</v>
      </c>
      <c r="V53">
        <v>0</v>
      </c>
      <c r="W53" s="11"/>
    </row>
    <row r="54" spans="6:23" x14ac:dyDescent="0.35">
      <c r="F54" s="9">
        <v>5</v>
      </c>
      <c r="G54" t="s">
        <v>79</v>
      </c>
      <c r="H54">
        <v>1</v>
      </c>
      <c r="I54">
        <v>69</v>
      </c>
      <c r="J54">
        <v>-27.68</v>
      </c>
      <c r="L54">
        <v>7.6</v>
      </c>
      <c r="M54">
        <v>0</v>
      </c>
      <c r="N54">
        <v>0</v>
      </c>
      <c r="O54">
        <v>1</v>
      </c>
      <c r="P54">
        <v>1</v>
      </c>
      <c r="R54">
        <v>5</v>
      </c>
      <c r="S54" t="s">
        <v>79</v>
      </c>
      <c r="T54">
        <v>1</v>
      </c>
      <c r="U54" t="s">
        <v>11</v>
      </c>
      <c r="V54">
        <v>0</v>
      </c>
      <c r="W54" s="11"/>
    </row>
    <row r="55" spans="6:23" x14ac:dyDescent="0.35">
      <c r="F55" s="9">
        <v>6</v>
      </c>
      <c r="G55" t="s">
        <v>71</v>
      </c>
      <c r="H55">
        <v>1</v>
      </c>
      <c r="I55">
        <v>13.8</v>
      </c>
      <c r="J55">
        <v>-35.770000000000003</v>
      </c>
      <c r="K55">
        <v>0</v>
      </c>
      <c r="L55">
        <v>11.2</v>
      </c>
      <c r="M55">
        <v>0</v>
      </c>
      <c r="N55">
        <v>0</v>
      </c>
      <c r="O55">
        <v>1</v>
      </c>
      <c r="P55">
        <v>1</v>
      </c>
      <c r="R55">
        <v>6</v>
      </c>
      <c r="S55" t="s">
        <v>71</v>
      </c>
      <c r="T55">
        <v>1</v>
      </c>
      <c r="U55" t="s">
        <v>9</v>
      </c>
      <c r="V55">
        <v>0</v>
      </c>
      <c r="W55" s="11"/>
    </row>
    <row r="56" spans="6:23" x14ac:dyDescent="0.35">
      <c r="F56" s="9">
        <v>7</v>
      </c>
      <c r="G56" t="s">
        <v>73</v>
      </c>
      <c r="H56">
        <v>1</v>
      </c>
      <c r="I56">
        <v>13.8</v>
      </c>
      <c r="J56">
        <v>-35.19</v>
      </c>
      <c r="L56">
        <v>0</v>
      </c>
      <c r="M56">
        <v>0</v>
      </c>
      <c r="N56">
        <v>0</v>
      </c>
      <c r="O56">
        <v>1</v>
      </c>
      <c r="P56">
        <v>1</v>
      </c>
      <c r="R56">
        <v>7</v>
      </c>
      <c r="S56" t="s">
        <v>73</v>
      </c>
      <c r="T56">
        <v>1</v>
      </c>
      <c r="U56" t="s">
        <v>11</v>
      </c>
      <c r="V56">
        <v>0</v>
      </c>
      <c r="W56" s="11"/>
    </row>
    <row r="57" spans="6:23" x14ac:dyDescent="0.35">
      <c r="F57" s="9">
        <v>8</v>
      </c>
      <c r="G57" t="s">
        <v>80</v>
      </c>
      <c r="H57">
        <v>1</v>
      </c>
      <c r="I57">
        <v>18</v>
      </c>
      <c r="J57">
        <v>-35.19</v>
      </c>
      <c r="K57">
        <v>0</v>
      </c>
      <c r="N57">
        <v>0</v>
      </c>
      <c r="O57">
        <v>1</v>
      </c>
      <c r="P57">
        <v>1</v>
      </c>
      <c r="R57">
        <v>8</v>
      </c>
      <c r="S57" t="s">
        <v>80</v>
      </c>
      <c r="T57">
        <v>1</v>
      </c>
      <c r="U57" t="s">
        <v>9</v>
      </c>
      <c r="V57">
        <v>0</v>
      </c>
      <c r="W57" s="11"/>
    </row>
    <row r="58" spans="6:23" x14ac:dyDescent="0.35">
      <c r="F58" s="9">
        <v>9</v>
      </c>
      <c r="G58" t="s">
        <v>72</v>
      </c>
      <c r="H58">
        <v>1</v>
      </c>
      <c r="I58">
        <v>13.8</v>
      </c>
      <c r="J58">
        <v>-36.51</v>
      </c>
      <c r="L58">
        <v>29.5</v>
      </c>
      <c r="M58">
        <v>0</v>
      </c>
      <c r="N58">
        <v>0</v>
      </c>
      <c r="O58">
        <v>1</v>
      </c>
      <c r="P58">
        <v>1</v>
      </c>
      <c r="R58">
        <v>9</v>
      </c>
      <c r="S58" t="s">
        <v>72</v>
      </c>
      <c r="T58">
        <v>1</v>
      </c>
      <c r="U58" t="s">
        <v>11</v>
      </c>
      <c r="V58">
        <v>0</v>
      </c>
      <c r="W58" s="11"/>
    </row>
    <row r="59" spans="6:23" x14ac:dyDescent="0.35">
      <c r="F59" s="9">
        <v>10</v>
      </c>
      <c r="G59" t="s">
        <v>75</v>
      </c>
      <c r="H59">
        <v>1</v>
      </c>
      <c r="I59">
        <v>13.8</v>
      </c>
      <c r="J59">
        <v>-36.81</v>
      </c>
      <c r="L59">
        <v>9</v>
      </c>
      <c r="M59">
        <v>0</v>
      </c>
      <c r="N59">
        <v>0</v>
      </c>
      <c r="O59">
        <v>1</v>
      </c>
      <c r="P59">
        <v>1</v>
      </c>
      <c r="R59">
        <v>10</v>
      </c>
      <c r="S59" t="s">
        <v>75</v>
      </c>
      <c r="T59">
        <v>1</v>
      </c>
      <c r="U59" t="s">
        <v>11</v>
      </c>
      <c r="V59">
        <v>0</v>
      </c>
      <c r="W59" s="11"/>
    </row>
    <row r="60" spans="6:23" x14ac:dyDescent="0.35">
      <c r="F60" s="9">
        <v>11</v>
      </c>
      <c r="G60" t="s">
        <v>82</v>
      </c>
      <c r="H60">
        <v>1</v>
      </c>
      <c r="I60">
        <v>13.8</v>
      </c>
      <c r="J60">
        <v>-36.49</v>
      </c>
      <c r="L60">
        <v>3.5</v>
      </c>
      <c r="M60">
        <v>0</v>
      </c>
      <c r="N60">
        <v>0</v>
      </c>
      <c r="O60">
        <v>1</v>
      </c>
      <c r="P60">
        <v>1</v>
      </c>
      <c r="R60">
        <v>11</v>
      </c>
      <c r="S60" t="s">
        <v>82</v>
      </c>
      <c r="T60">
        <v>1</v>
      </c>
      <c r="U60" t="s">
        <v>11</v>
      </c>
      <c r="V60">
        <v>0</v>
      </c>
      <c r="W60" s="11"/>
    </row>
    <row r="61" spans="6:23" x14ac:dyDescent="0.35">
      <c r="F61" s="9">
        <v>12</v>
      </c>
      <c r="G61" t="s">
        <v>76</v>
      </c>
      <c r="H61">
        <v>1</v>
      </c>
      <c r="I61">
        <v>13.8</v>
      </c>
      <c r="J61">
        <v>-36.880000000000003</v>
      </c>
      <c r="L61">
        <v>6.1</v>
      </c>
      <c r="M61">
        <v>0</v>
      </c>
      <c r="N61">
        <v>0</v>
      </c>
      <c r="O61">
        <v>1</v>
      </c>
      <c r="P61">
        <v>1</v>
      </c>
      <c r="R61">
        <v>12</v>
      </c>
      <c r="S61" t="s">
        <v>76</v>
      </c>
      <c r="T61">
        <v>1</v>
      </c>
      <c r="U61" t="s">
        <v>11</v>
      </c>
      <c r="V61">
        <v>0</v>
      </c>
      <c r="W61" s="11"/>
    </row>
    <row r="62" spans="6:23" x14ac:dyDescent="0.35">
      <c r="F62" s="9">
        <v>13</v>
      </c>
      <c r="G62" t="s">
        <v>78</v>
      </c>
      <c r="H62">
        <v>1</v>
      </c>
      <c r="I62">
        <v>13.8</v>
      </c>
      <c r="J62">
        <v>-37.04</v>
      </c>
      <c r="L62">
        <v>13.5</v>
      </c>
      <c r="M62">
        <v>0</v>
      </c>
      <c r="N62">
        <v>0</v>
      </c>
      <c r="O62">
        <v>1</v>
      </c>
      <c r="P62">
        <v>1</v>
      </c>
      <c r="R62">
        <v>13</v>
      </c>
      <c r="S62" t="s">
        <v>78</v>
      </c>
      <c r="T62">
        <v>1</v>
      </c>
      <c r="U62" t="s">
        <v>11</v>
      </c>
      <c r="V62">
        <v>0</v>
      </c>
      <c r="W62" s="11"/>
    </row>
    <row r="63" spans="6:23" x14ac:dyDescent="0.35">
      <c r="F63" s="9">
        <v>14</v>
      </c>
      <c r="G63" t="s">
        <v>81</v>
      </c>
      <c r="H63">
        <v>1</v>
      </c>
      <c r="I63">
        <v>13.8</v>
      </c>
      <c r="J63">
        <v>-38.04</v>
      </c>
      <c r="L63">
        <v>14.9</v>
      </c>
      <c r="M63">
        <v>0</v>
      </c>
      <c r="N63">
        <v>0</v>
      </c>
      <c r="O63">
        <v>1</v>
      </c>
      <c r="P63">
        <v>1</v>
      </c>
      <c r="R63">
        <v>14</v>
      </c>
      <c r="S63" t="s">
        <v>81</v>
      </c>
      <c r="T63">
        <v>1</v>
      </c>
      <c r="U63" t="s">
        <v>11</v>
      </c>
      <c r="V63">
        <v>0</v>
      </c>
      <c r="W63" s="11"/>
    </row>
    <row r="64" spans="6:23" ht="15" thickBot="1" x14ac:dyDescent="0.4">
      <c r="F64" s="12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4"/>
    </row>
    <row r="66" spans="6:31" ht="15" thickBot="1" x14ac:dyDescent="0.4"/>
    <row r="67" spans="6:31" x14ac:dyDescent="0.35">
      <c r="F67" s="6" t="s">
        <v>104</v>
      </c>
      <c r="G67" s="7"/>
      <c r="H67" s="15" t="s">
        <v>111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8"/>
    </row>
    <row r="68" spans="6:31" x14ac:dyDescent="0.35">
      <c r="F68" s="9" t="s">
        <v>8</v>
      </c>
      <c r="Y68" t="s">
        <v>8</v>
      </c>
      <c r="AE68" s="11"/>
    </row>
    <row r="69" spans="6:31" x14ac:dyDescent="0.35">
      <c r="F69" s="9" t="s">
        <v>64</v>
      </c>
      <c r="G69" t="s">
        <v>65</v>
      </c>
      <c r="H69" t="s">
        <v>66</v>
      </c>
      <c r="I69" t="s">
        <v>85</v>
      </c>
      <c r="J69" t="s">
        <v>93</v>
      </c>
      <c r="K69" t="s">
        <v>94</v>
      </c>
      <c r="L69" t="s">
        <v>86</v>
      </c>
      <c r="M69" t="s">
        <v>87</v>
      </c>
      <c r="N69" t="s">
        <v>95</v>
      </c>
      <c r="O69" t="s">
        <v>88</v>
      </c>
      <c r="P69" t="s">
        <v>96</v>
      </c>
      <c r="Q69" t="s">
        <v>89</v>
      </c>
      <c r="R69" t="s">
        <v>97</v>
      </c>
      <c r="S69" t="s">
        <v>98</v>
      </c>
      <c r="T69" t="s">
        <v>90</v>
      </c>
      <c r="U69" t="s">
        <v>99</v>
      </c>
      <c r="V69" t="s">
        <v>91</v>
      </c>
      <c r="W69" t="s">
        <v>92</v>
      </c>
      <c r="Y69" t="s">
        <v>64</v>
      </c>
      <c r="Z69" t="s">
        <v>65</v>
      </c>
      <c r="AA69" t="s">
        <v>66</v>
      </c>
      <c r="AB69" t="s">
        <v>1</v>
      </c>
      <c r="AC69" t="s">
        <v>67</v>
      </c>
      <c r="AD69" t="s">
        <v>68</v>
      </c>
      <c r="AE69" s="11" t="s">
        <v>69</v>
      </c>
    </row>
    <row r="70" spans="6:31" x14ac:dyDescent="0.35">
      <c r="F70" s="9">
        <v>1</v>
      </c>
      <c r="G70" t="s">
        <v>83</v>
      </c>
      <c r="H70">
        <v>1</v>
      </c>
      <c r="I70">
        <v>69</v>
      </c>
      <c r="J70">
        <v>1.06</v>
      </c>
      <c r="K70">
        <v>73.14</v>
      </c>
      <c r="L70">
        <v>-20.69</v>
      </c>
      <c r="M70">
        <v>-5.7</v>
      </c>
      <c r="N70">
        <v>39.340000000000003</v>
      </c>
      <c r="T70">
        <v>0</v>
      </c>
      <c r="U70">
        <v>0</v>
      </c>
      <c r="V70">
        <v>1</v>
      </c>
      <c r="W70">
        <v>1</v>
      </c>
      <c r="Y70">
        <v>1</v>
      </c>
      <c r="Z70" t="s">
        <v>83</v>
      </c>
      <c r="AA70">
        <v>1</v>
      </c>
      <c r="AB70" t="s">
        <v>84</v>
      </c>
      <c r="AC70">
        <v>0</v>
      </c>
      <c r="AD70">
        <v>0</v>
      </c>
      <c r="AE70" s="11">
        <v>0</v>
      </c>
    </row>
    <row r="71" spans="6:31" x14ac:dyDescent="0.35">
      <c r="F71" s="9">
        <v>2</v>
      </c>
      <c r="G71" t="s">
        <v>74</v>
      </c>
      <c r="H71">
        <v>1</v>
      </c>
      <c r="I71">
        <v>69</v>
      </c>
      <c r="J71">
        <v>1.0449999999999999</v>
      </c>
      <c r="K71">
        <v>72.105000000000004</v>
      </c>
      <c r="L71">
        <v>-20.13</v>
      </c>
      <c r="M71">
        <v>40</v>
      </c>
      <c r="N71">
        <v>17.98</v>
      </c>
      <c r="O71">
        <v>21.7</v>
      </c>
      <c r="P71">
        <v>12.7</v>
      </c>
      <c r="Q71">
        <v>0</v>
      </c>
      <c r="R71">
        <v>0</v>
      </c>
      <c r="T71">
        <v>0</v>
      </c>
      <c r="U71">
        <v>0</v>
      </c>
      <c r="V71">
        <v>1</v>
      </c>
      <c r="W71">
        <v>1</v>
      </c>
      <c r="Y71">
        <v>2</v>
      </c>
      <c r="Z71" t="s">
        <v>74</v>
      </c>
      <c r="AA71">
        <v>1</v>
      </c>
      <c r="AB71" t="s">
        <v>9</v>
      </c>
      <c r="AC71">
        <v>-19.87</v>
      </c>
      <c r="AD71">
        <v>0</v>
      </c>
      <c r="AE71" s="11">
        <v>19.87</v>
      </c>
    </row>
    <row r="72" spans="6:31" x14ac:dyDescent="0.35">
      <c r="F72" s="9">
        <v>3</v>
      </c>
      <c r="G72" t="s">
        <v>77</v>
      </c>
      <c r="H72">
        <v>1</v>
      </c>
      <c r="I72">
        <v>69</v>
      </c>
      <c r="J72">
        <v>1.01</v>
      </c>
      <c r="K72">
        <v>69.69</v>
      </c>
      <c r="L72">
        <v>-20.92</v>
      </c>
      <c r="M72">
        <v>65</v>
      </c>
      <c r="N72">
        <v>3.87</v>
      </c>
      <c r="O72">
        <v>94.2</v>
      </c>
      <c r="P72">
        <v>19</v>
      </c>
      <c r="Q72">
        <v>0</v>
      </c>
      <c r="R72">
        <v>0</v>
      </c>
      <c r="T72">
        <v>0</v>
      </c>
      <c r="U72">
        <v>0</v>
      </c>
      <c r="V72">
        <v>1</v>
      </c>
      <c r="W72">
        <v>1</v>
      </c>
      <c r="Y72">
        <v>3</v>
      </c>
      <c r="Z72" t="s">
        <v>77</v>
      </c>
      <c r="AA72">
        <v>1</v>
      </c>
      <c r="AB72" t="s">
        <v>9</v>
      </c>
      <c r="AC72">
        <v>-15.04</v>
      </c>
      <c r="AD72">
        <v>0</v>
      </c>
      <c r="AE72" s="11">
        <v>15.04</v>
      </c>
    </row>
    <row r="73" spans="6:31" x14ac:dyDescent="0.35">
      <c r="F73" s="9">
        <v>4</v>
      </c>
      <c r="G73" t="s">
        <v>70</v>
      </c>
      <c r="H73">
        <v>1</v>
      </c>
      <c r="I73">
        <v>69</v>
      </c>
      <c r="J73">
        <v>1.00712</v>
      </c>
      <c r="K73">
        <v>69.491</v>
      </c>
      <c r="L73">
        <v>-20.51</v>
      </c>
      <c r="O73">
        <v>47.8</v>
      </c>
      <c r="P73">
        <v>-3.9</v>
      </c>
      <c r="Q73">
        <v>0</v>
      </c>
      <c r="R73">
        <v>0</v>
      </c>
      <c r="S73">
        <v>0</v>
      </c>
      <c r="T73">
        <v>0</v>
      </c>
      <c r="U73">
        <v>0</v>
      </c>
      <c r="V73">
        <v>1</v>
      </c>
      <c r="W73">
        <v>1</v>
      </c>
      <c r="Y73">
        <v>4</v>
      </c>
      <c r="Z73" t="s">
        <v>70</v>
      </c>
      <c r="AA73">
        <v>1</v>
      </c>
      <c r="AB73" t="s">
        <v>11</v>
      </c>
      <c r="AC73">
        <v>-10.18</v>
      </c>
      <c r="AD73">
        <v>81.819999999999993</v>
      </c>
      <c r="AE73" s="11">
        <v>82.45</v>
      </c>
    </row>
    <row r="74" spans="6:31" x14ac:dyDescent="0.35">
      <c r="F74" s="9">
        <v>5</v>
      </c>
      <c r="G74" t="s">
        <v>79</v>
      </c>
      <c r="H74">
        <v>1</v>
      </c>
      <c r="I74">
        <v>69</v>
      </c>
      <c r="J74">
        <v>1.0263599999999999</v>
      </c>
      <c r="K74">
        <v>70.819000000000003</v>
      </c>
      <c r="L74">
        <v>-20.6</v>
      </c>
      <c r="O74">
        <v>7.6</v>
      </c>
      <c r="P74">
        <v>1.6</v>
      </c>
      <c r="Q74">
        <v>0</v>
      </c>
      <c r="R74">
        <v>0</v>
      </c>
      <c r="T74">
        <v>0</v>
      </c>
      <c r="U74">
        <v>0</v>
      </c>
      <c r="V74">
        <v>1</v>
      </c>
      <c r="W74">
        <v>1</v>
      </c>
      <c r="Y74">
        <v>5</v>
      </c>
      <c r="Z74" t="s">
        <v>79</v>
      </c>
      <c r="AA74">
        <v>1</v>
      </c>
      <c r="AB74" t="s">
        <v>11</v>
      </c>
      <c r="AC74">
        <v>-2.16</v>
      </c>
      <c r="AD74">
        <v>0.03</v>
      </c>
      <c r="AE74" s="11">
        <v>2.16</v>
      </c>
    </row>
    <row r="75" spans="6:31" x14ac:dyDescent="0.35">
      <c r="F75" s="9">
        <v>6</v>
      </c>
      <c r="G75" t="s">
        <v>71</v>
      </c>
      <c r="H75">
        <v>1</v>
      </c>
      <c r="I75">
        <v>13.8</v>
      </c>
      <c r="J75">
        <v>1.07</v>
      </c>
      <c r="K75">
        <v>14.766</v>
      </c>
      <c r="L75">
        <v>-21.97</v>
      </c>
      <c r="M75">
        <v>0</v>
      </c>
      <c r="N75">
        <v>78.72</v>
      </c>
      <c r="O75">
        <v>11.2</v>
      </c>
      <c r="P75">
        <v>7.5</v>
      </c>
      <c r="Q75">
        <v>0</v>
      </c>
      <c r="R75">
        <v>0</v>
      </c>
      <c r="T75">
        <v>0</v>
      </c>
      <c r="U75">
        <v>0</v>
      </c>
      <c r="V75">
        <v>1</v>
      </c>
      <c r="W75">
        <v>1</v>
      </c>
      <c r="Y75">
        <v>6</v>
      </c>
      <c r="Z75" t="s">
        <v>71</v>
      </c>
      <c r="AA75">
        <v>1</v>
      </c>
      <c r="AB75" t="s">
        <v>9</v>
      </c>
      <c r="AC75">
        <v>-45.32</v>
      </c>
      <c r="AD75">
        <v>0</v>
      </c>
      <c r="AE75" s="11">
        <v>45.32</v>
      </c>
    </row>
    <row r="76" spans="6:31" x14ac:dyDescent="0.35">
      <c r="F76" s="9">
        <v>7</v>
      </c>
      <c r="G76" t="s">
        <v>73</v>
      </c>
      <c r="H76">
        <v>1</v>
      </c>
      <c r="I76">
        <v>13.8</v>
      </c>
      <c r="J76">
        <v>1.0314700000000001</v>
      </c>
      <c r="K76">
        <v>14.234</v>
      </c>
      <c r="L76">
        <v>-21.6</v>
      </c>
      <c r="O76">
        <v>0</v>
      </c>
      <c r="P76">
        <v>0</v>
      </c>
      <c r="Q76">
        <v>0</v>
      </c>
      <c r="R76">
        <v>0</v>
      </c>
      <c r="T76">
        <v>0</v>
      </c>
      <c r="U76">
        <v>0</v>
      </c>
      <c r="V76">
        <v>1</v>
      </c>
      <c r="W76">
        <v>1</v>
      </c>
      <c r="Y76">
        <v>7</v>
      </c>
      <c r="Z76" t="s">
        <v>73</v>
      </c>
      <c r="AA76">
        <v>1</v>
      </c>
      <c r="AB76" t="s">
        <v>11</v>
      </c>
      <c r="AC76">
        <v>-28.34</v>
      </c>
      <c r="AD76">
        <v>8.6</v>
      </c>
      <c r="AE76" s="11">
        <v>29.62</v>
      </c>
    </row>
    <row r="77" spans="6:31" x14ac:dyDescent="0.35">
      <c r="F77" s="9">
        <v>8</v>
      </c>
      <c r="G77" t="s">
        <v>80</v>
      </c>
      <c r="H77">
        <v>1</v>
      </c>
      <c r="I77">
        <v>18</v>
      </c>
      <c r="J77">
        <v>1.0900000000000001</v>
      </c>
      <c r="K77">
        <v>19.62</v>
      </c>
      <c r="L77">
        <v>-21.56</v>
      </c>
      <c r="M77">
        <v>0</v>
      </c>
      <c r="N77">
        <v>45.32</v>
      </c>
      <c r="T77">
        <v>0</v>
      </c>
      <c r="U77">
        <v>0</v>
      </c>
      <c r="V77">
        <v>1</v>
      </c>
      <c r="W77">
        <v>1</v>
      </c>
      <c r="Y77">
        <v>8</v>
      </c>
      <c r="Z77" t="s">
        <v>80</v>
      </c>
      <c r="AA77">
        <v>1</v>
      </c>
      <c r="AB77" t="s">
        <v>9</v>
      </c>
      <c r="AC77">
        <v>-0.46</v>
      </c>
      <c r="AD77">
        <v>0</v>
      </c>
      <c r="AE77" s="11">
        <v>0.46</v>
      </c>
    </row>
    <row r="78" spans="6:31" x14ac:dyDescent="0.35">
      <c r="F78" s="9">
        <v>9</v>
      </c>
      <c r="G78" t="s">
        <v>72</v>
      </c>
      <c r="H78">
        <v>1</v>
      </c>
      <c r="I78">
        <v>13.8</v>
      </c>
      <c r="J78">
        <v>1.0089699999999999</v>
      </c>
      <c r="K78">
        <v>13.923999999999999</v>
      </c>
      <c r="L78">
        <v>-21.82</v>
      </c>
      <c r="O78">
        <v>29.5</v>
      </c>
      <c r="P78">
        <v>16.600000000000001</v>
      </c>
      <c r="Q78">
        <v>0</v>
      </c>
      <c r="R78">
        <v>0</v>
      </c>
      <c r="S78">
        <v>19.34</v>
      </c>
      <c r="T78">
        <v>0</v>
      </c>
      <c r="U78">
        <v>0</v>
      </c>
      <c r="V78">
        <v>1</v>
      </c>
      <c r="W78">
        <v>1</v>
      </c>
      <c r="Y78">
        <v>9</v>
      </c>
      <c r="Z78" t="s">
        <v>72</v>
      </c>
      <c r="AA78">
        <v>1</v>
      </c>
      <c r="AB78" t="s">
        <v>11</v>
      </c>
      <c r="AC78">
        <v>-30.58</v>
      </c>
      <c r="AD78">
        <v>14.33</v>
      </c>
      <c r="AE78" s="11">
        <v>33.770000000000003</v>
      </c>
    </row>
    <row r="79" spans="6:31" x14ac:dyDescent="0.35">
      <c r="F79" s="9">
        <v>10</v>
      </c>
      <c r="G79" t="s">
        <v>75</v>
      </c>
      <c r="H79">
        <v>1</v>
      </c>
      <c r="I79">
        <v>13.8</v>
      </c>
      <c r="J79">
        <v>1.0005599999999999</v>
      </c>
      <c r="K79">
        <v>13.808</v>
      </c>
      <c r="L79">
        <v>-21.71</v>
      </c>
      <c r="O79">
        <v>9</v>
      </c>
      <c r="P79">
        <v>5.8</v>
      </c>
      <c r="Q79">
        <v>0</v>
      </c>
      <c r="R79">
        <v>0</v>
      </c>
      <c r="T79">
        <v>0</v>
      </c>
      <c r="U79">
        <v>0</v>
      </c>
      <c r="V79">
        <v>1</v>
      </c>
      <c r="W79">
        <v>1</v>
      </c>
      <c r="Y79">
        <v>10</v>
      </c>
      <c r="Z79" t="s">
        <v>75</v>
      </c>
      <c r="AA79">
        <v>1</v>
      </c>
      <c r="AB79" t="s">
        <v>11</v>
      </c>
      <c r="AC79">
        <v>-3.8</v>
      </c>
      <c r="AD79">
        <v>17.95</v>
      </c>
      <c r="AE79" s="11">
        <v>18.350000000000001</v>
      </c>
    </row>
    <row r="80" spans="6:31" x14ac:dyDescent="0.35">
      <c r="F80" s="9">
        <v>11</v>
      </c>
      <c r="G80" t="s">
        <v>82</v>
      </c>
      <c r="H80">
        <v>1</v>
      </c>
      <c r="I80">
        <v>13.8</v>
      </c>
      <c r="J80">
        <v>1.0311900000000001</v>
      </c>
      <c r="K80">
        <v>14.23</v>
      </c>
      <c r="L80">
        <v>-21.94</v>
      </c>
      <c r="O80">
        <v>3.5</v>
      </c>
      <c r="P80">
        <v>1.8</v>
      </c>
      <c r="Q80">
        <v>0</v>
      </c>
      <c r="R80">
        <v>0</v>
      </c>
      <c r="T80">
        <v>0</v>
      </c>
      <c r="U80">
        <v>0</v>
      </c>
      <c r="V80">
        <v>1</v>
      </c>
      <c r="W80">
        <v>1</v>
      </c>
      <c r="Y80">
        <v>11</v>
      </c>
      <c r="Z80" t="s">
        <v>82</v>
      </c>
      <c r="AA80">
        <v>1</v>
      </c>
      <c r="AB80" t="s">
        <v>11</v>
      </c>
      <c r="AC80">
        <v>0</v>
      </c>
      <c r="AD80">
        <v>0</v>
      </c>
      <c r="AE80" s="11">
        <v>0</v>
      </c>
    </row>
    <row r="81" spans="6:31" x14ac:dyDescent="0.35">
      <c r="F81" s="9">
        <v>12</v>
      </c>
      <c r="G81" t="s">
        <v>76</v>
      </c>
      <c r="H81">
        <v>1</v>
      </c>
      <c r="I81">
        <v>13.8</v>
      </c>
      <c r="J81">
        <v>1.0264599999999999</v>
      </c>
      <c r="K81">
        <v>14.164999999999999</v>
      </c>
      <c r="L81">
        <v>-22.07</v>
      </c>
      <c r="O81">
        <v>6.1</v>
      </c>
      <c r="P81">
        <v>1.6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1</v>
      </c>
      <c r="Y81">
        <v>12</v>
      </c>
      <c r="Z81" t="s">
        <v>76</v>
      </c>
      <c r="AA81">
        <v>1</v>
      </c>
      <c r="AB81" t="s">
        <v>11</v>
      </c>
      <c r="AC81">
        <v>3.19</v>
      </c>
      <c r="AD81">
        <v>15.04</v>
      </c>
      <c r="AE81" s="11">
        <v>15.38</v>
      </c>
    </row>
    <row r="82" spans="6:31" x14ac:dyDescent="0.35">
      <c r="F82" s="9">
        <v>13</v>
      </c>
      <c r="G82" t="s">
        <v>78</v>
      </c>
      <c r="H82">
        <v>1</v>
      </c>
      <c r="I82">
        <v>13.8</v>
      </c>
      <c r="J82">
        <v>1.0358700000000001</v>
      </c>
      <c r="K82">
        <v>14.295</v>
      </c>
      <c r="L82">
        <v>-22.18</v>
      </c>
      <c r="O82">
        <v>13.5</v>
      </c>
      <c r="P82">
        <v>5.8</v>
      </c>
      <c r="Q82">
        <v>0</v>
      </c>
      <c r="R82">
        <v>0</v>
      </c>
      <c r="T82">
        <v>0</v>
      </c>
      <c r="U82">
        <v>0</v>
      </c>
      <c r="V82">
        <v>1</v>
      </c>
      <c r="W82">
        <v>1</v>
      </c>
      <c r="Y82">
        <v>13</v>
      </c>
      <c r="Z82" t="s">
        <v>78</v>
      </c>
      <c r="AA82">
        <v>1</v>
      </c>
      <c r="AB82" t="s">
        <v>11</v>
      </c>
      <c r="AC82">
        <v>-9.57</v>
      </c>
      <c r="AD82">
        <v>5.39</v>
      </c>
      <c r="AE82" s="11">
        <v>10.98</v>
      </c>
    </row>
    <row r="83" spans="6:31" x14ac:dyDescent="0.35">
      <c r="F83" s="9">
        <v>14</v>
      </c>
      <c r="G83" t="s">
        <v>81</v>
      </c>
      <c r="H83">
        <v>1</v>
      </c>
      <c r="I83">
        <v>13.8</v>
      </c>
      <c r="J83">
        <v>1.0020899999999999</v>
      </c>
      <c r="K83">
        <v>13.829000000000001</v>
      </c>
      <c r="L83">
        <v>-23.04</v>
      </c>
      <c r="O83">
        <v>14.9</v>
      </c>
      <c r="P83">
        <v>5</v>
      </c>
      <c r="Q83">
        <v>0</v>
      </c>
      <c r="R83">
        <v>0</v>
      </c>
      <c r="T83">
        <v>0</v>
      </c>
      <c r="U83">
        <v>0</v>
      </c>
      <c r="V83">
        <v>1</v>
      </c>
      <c r="W83">
        <v>1</v>
      </c>
      <c r="Y83">
        <v>14</v>
      </c>
      <c r="Z83" t="s">
        <v>81</v>
      </c>
      <c r="AA83">
        <v>1</v>
      </c>
      <c r="AB83" t="s">
        <v>11</v>
      </c>
      <c r="AC83">
        <v>-0.02</v>
      </c>
      <c r="AD83">
        <v>0.01</v>
      </c>
      <c r="AE83" s="11">
        <v>0.02</v>
      </c>
    </row>
    <row r="84" spans="6:31" x14ac:dyDescent="0.35">
      <c r="F84" s="9"/>
      <c r="AE84" s="11"/>
    </row>
    <row r="85" spans="6:31" x14ac:dyDescent="0.35">
      <c r="F85" s="9"/>
      <c r="AE85" s="11"/>
    </row>
    <row r="86" spans="6:31" x14ac:dyDescent="0.35">
      <c r="F86" s="9" t="s">
        <v>105</v>
      </c>
      <c r="H86" s="10" t="s">
        <v>106</v>
      </c>
      <c r="AE86" s="11"/>
    </row>
    <row r="87" spans="6:31" x14ac:dyDescent="0.35">
      <c r="F87" s="9" t="s">
        <v>8</v>
      </c>
      <c r="Y87" t="s">
        <v>8</v>
      </c>
      <c r="AE87" s="11"/>
    </row>
    <row r="88" spans="6:31" x14ac:dyDescent="0.35">
      <c r="F88" s="9" t="s">
        <v>64</v>
      </c>
      <c r="G88" t="s">
        <v>65</v>
      </c>
      <c r="H88" t="s">
        <v>66</v>
      </c>
      <c r="I88" t="s">
        <v>85</v>
      </c>
      <c r="J88" t="s">
        <v>93</v>
      </c>
      <c r="K88" t="s">
        <v>94</v>
      </c>
      <c r="L88" t="s">
        <v>86</v>
      </c>
      <c r="M88" t="s">
        <v>87</v>
      </c>
      <c r="N88" t="s">
        <v>95</v>
      </c>
      <c r="O88" t="s">
        <v>88</v>
      </c>
      <c r="P88" t="s">
        <v>96</v>
      </c>
      <c r="Q88" t="s">
        <v>89</v>
      </c>
      <c r="R88" t="s">
        <v>97</v>
      </c>
      <c r="S88" t="s">
        <v>98</v>
      </c>
      <c r="T88" t="s">
        <v>90</v>
      </c>
      <c r="U88" t="s">
        <v>99</v>
      </c>
      <c r="V88" t="s">
        <v>91</v>
      </c>
      <c r="W88" t="s">
        <v>92</v>
      </c>
      <c r="Y88" t="s">
        <v>64</v>
      </c>
      <c r="Z88" t="s">
        <v>65</v>
      </c>
      <c r="AA88" t="s">
        <v>66</v>
      </c>
      <c r="AB88" t="s">
        <v>1</v>
      </c>
      <c r="AC88" t="s">
        <v>67</v>
      </c>
      <c r="AD88" t="s">
        <v>68</v>
      </c>
      <c r="AE88" s="11" t="s">
        <v>69</v>
      </c>
    </row>
    <row r="89" spans="6:31" x14ac:dyDescent="0.35">
      <c r="F89" s="9">
        <v>1</v>
      </c>
      <c r="G89" t="s">
        <v>83</v>
      </c>
      <c r="H89">
        <v>1</v>
      </c>
      <c r="I89">
        <v>69</v>
      </c>
      <c r="J89">
        <v>1.06</v>
      </c>
      <c r="K89">
        <v>73.14</v>
      </c>
      <c r="L89">
        <v>-20.69</v>
      </c>
      <c r="M89">
        <v>157.99</v>
      </c>
      <c r="N89">
        <v>-8.7100000000000009</v>
      </c>
      <c r="T89">
        <v>0</v>
      </c>
      <c r="U89">
        <v>0</v>
      </c>
      <c r="V89">
        <v>1</v>
      </c>
      <c r="W89">
        <v>1</v>
      </c>
      <c r="Y89">
        <v>1</v>
      </c>
      <c r="Z89" t="s">
        <v>83</v>
      </c>
      <c r="AA89">
        <v>1</v>
      </c>
      <c r="AB89" t="s">
        <v>84</v>
      </c>
      <c r="AC89">
        <v>0</v>
      </c>
      <c r="AD89">
        <v>0</v>
      </c>
      <c r="AE89" s="11">
        <v>0</v>
      </c>
    </row>
    <row r="90" spans="6:31" x14ac:dyDescent="0.35">
      <c r="F90" s="9">
        <v>2</v>
      </c>
      <c r="G90" t="s">
        <v>74</v>
      </c>
      <c r="H90">
        <v>1</v>
      </c>
      <c r="I90">
        <v>69</v>
      </c>
      <c r="J90">
        <v>1.0449999999999999</v>
      </c>
      <c r="K90">
        <v>72.105000000000004</v>
      </c>
      <c r="L90">
        <v>-23.81</v>
      </c>
      <c r="M90">
        <v>40</v>
      </c>
      <c r="N90">
        <v>12.17</v>
      </c>
      <c r="O90">
        <v>21.7</v>
      </c>
      <c r="P90">
        <v>12.7</v>
      </c>
      <c r="Q90">
        <v>0</v>
      </c>
      <c r="R90">
        <v>0</v>
      </c>
      <c r="T90">
        <v>0</v>
      </c>
      <c r="U90">
        <v>0</v>
      </c>
      <c r="V90">
        <v>1</v>
      </c>
      <c r="W90">
        <v>1</v>
      </c>
      <c r="Y90">
        <v>2</v>
      </c>
      <c r="Z90" t="s">
        <v>74</v>
      </c>
      <c r="AA90">
        <v>1</v>
      </c>
      <c r="AB90" t="s">
        <v>9</v>
      </c>
      <c r="AC90">
        <v>-0.49</v>
      </c>
      <c r="AD90">
        <v>0</v>
      </c>
      <c r="AE90" s="11">
        <v>0.49</v>
      </c>
    </row>
    <row r="91" spans="6:31" x14ac:dyDescent="0.35">
      <c r="F91" s="9">
        <v>3</v>
      </c>
      <c r="G91" t="s">
        <v>77</v>
      </c>
      <c r="H91">
        <v>1</v>
      </c>
      <c r="I91">
        <v>69</v>
      </c>
      <c r="J91">
        <v>1.01</v>
      </c>
      <c r="K91">
        <v>69.69</v>
      </c>
      <c r="L91">
        <v>-27.37</v>
      </c>
      <c r="M91">
        <v>65</v>
      </c>
      <c r="N91">
        <v>-6.66</v>
      </c>
      <c r="O91">
        <v>94.2</v>
      </c>
      <c r="P91">
        <v>19</v>
      </c>
      <c r="Q91">
        <v>0</v>
      </c>
      <c r="R91">
        <v>0</v>
      </c>
      <c r="T91">
        <v>0</v>
      </c>
      <c r="U91">
        <v>0</v>
      </c>
      <c r="V91">
        <v>1</v>
      </c>
      <c r="W91">
        <v>1</v>
      </c>
      <c r="Y91">
        <v>3</v>
      </c>
      <c r="Z91" t="s">
        <v>77</v>
      </c>
      <c r="AA91">
        <v>1</v>
      </c>
      <c r="AB91" t="s">
        <v>9</v>
      </c>
      <c r="AC91">
        <v>1.95</v>
      </c>
      <c r="AD91">
        <v>0</v>
      </c>
      <c r="AE91" s="11">
        <v>1.95</v>
      </c>
    </row>
    <row r="92" spans="6:31" x14ac:dyDescent="0.35">
      <c r="F92" s="9">
        <v>4</v>
      </c>
      <c r="G92" t="s">
        <v>70</v>
      </c>
      <c r="H92">
        <v>1</v>
      </c>
      <c r="I92">
        <v>69</v>
      </c>
      <c r="J92">
        <v>1.0316799999999999</v>
      </c>
      <c r="K92">
        <v>71.186000000000007</v>
      </c>
      <c r="L92">
        <v>-28.27</v>
      </c>
      <c r="O92">
        <v>47.8</v>
      </c>
      <c r="P92">
        <v>-3.9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1</v>
      </c>
      <c r="Y92">
        <v>4</v>
      </c>
      <c r="Z92" t="s">
        <v>70</v>
      </c>
      <c r="AA92">
        <v>1</v>
      </c>
      <c r="AB92" t="s">
        <v>11</v>
      </c>
      <c r="AC92">
        <v>-0.97</v>
      </c>
      <c r="AD92">
        <v>0.08</v>
      </c>
      <c r="AE92" s="11">
        <v>0.97</v>
      </c>
    </row>
    <row r="93" spans="6:31" x14ac:dyDescent="0.35">
      <c r="F93" s="9">
        <v>5</v>
      </c>
      <c r="G93" t="s">
        <v>79</v>
      </c>
      <c r="H93">
        <v>1</v>
      </c>
      <c r="I93">
        <v>69</v>
      </c>
      <c r="J93">
        <v>1.03701</v>
      </c>
      <c r="K93">
        <v>71.554000000000002</v>
      </c>
      <c r="L93">
        <v>-27.34</v>
      </c>
      <c r="O93">
        <v>7.6</v>
      </c>
      <c r="P93">
        <v>1.6</v>
      </c>
      <c r="Q93">
        <v>0</v>
      </c>
      <c r="R93">
        <v>0</v>
      </c>
      <c r="T93">
        <v>0</v>
      </c>
      <c r="U93">
        <v>0</v>
      </c>
      <c r="V93">
        <v>1</v>
      </c>
      <c r="W93">
        <v>1</v>
      </c>
      <c r="Y93">
        <v>5</v>
      </c>
      <c r="Z93" t="s">
        <v>79</v>
      </c>
      <c r="AA93">
        <v>1</v>
      </c>
      <c r="AB93" t="s">
        <v>11</v>
      </c>
      <c r="AC93">
        <v>-0.21</v>
      </c>
      <c r="AD93">
        <v>-0.02</v>
      </c>
      <c r="AE93" s="11">
        <v>0.21</v>
      </c>
    </row>
    <row r="94" spans="6:31" x14ac:dyDescent="0.35">
      <c r="F94" s="9">
        <v>6</v>
      </c>
      <c r="G94" t="s">
        <v>71</v>
      </c>
      <c r="H94">
        <v>1</v>
      </c>
      <c r="I94">
        <v>13.8</v>
      </c>
      <c r="J94">
        <v>1.07</v>
      </c>
      <c r="K94">
        <v>14.766</v>
      </c>
      <c r="L94">
        <v>-34.85</v>
      </c>
      <c r="M94">
        <v>0</v>
      </c>
      <c r="N94">
        <v>38.1</v>
      </c>
      <c r="O94">
        <v>11.2</v>
      </c>
      <c r="P94">
        <v>7.5</v>
      </c>
      <c r="Q94">
        <v>0</v>
      </c>
      <c r="R94">
        <v>0</v>
      </c>
      <c r="T94">
        <v>0</v>
      </c>
      <c r="U94">
        <v>0</v>
      </c>
      <c r="V94">
        <v>1</v>
      </c>
      <c r="W94">
        <v>1</v>
      </c>
      <c r="Y94">
        <v>6</v>
      </c>
      <c r="Z94" t="s">
        <v>71</v>
      </c>
      <c r="AA94">
        <v>1</v>
      </c>
      <c r="AB94" t="s">
        <v>9</v>
      </c>
      <c r="AC94">
        <v>-0.9</v>
      </c>
      <c r="AD94">
        <v>0</v>
      </c>
      <c r="AE94" s="11">
        <v>0.9</v>
      </c>
    </row>
    <row r="95" spans="6:31" x14ac:dyDescent="0.35">
      <c r="F95" s="9">
        <v>7</v>
      </c>
      <c r="G95" t="s">
        <v>73</v>
      </c>
      <c r="H95">
        <v>1</v>
      </c>
      <c r="I95">
        <v>13.8</v>
      </c>
      <c r="J95">
        <v>1.06263</v>
      </c>
      <c r="K95">
        <v>14.664</v>
      </c>
      <c r="L95">
        <v>-34.31</v>
      </c>
      <c r="O95">
        <v>0</v>
      </c>
      <c r="P95">
        <v>0</v>
      </c>
      <c r="Q95">
        <v>0</v>
      </c>
      <c r="R95">
        <v>0</v>
      </c>
      <c r="T95">
        <v>0</v>
      </c>
      <c r="U95">
        <v>0</v>
      </c>
      <c r="V95">
        <v>1</v>
      </c>
      <c r="W95">
        <v>1</v>
      </c>
      <c r="Y95">
        <v>7</v>
      </c>
      <c r="Z95" t="s">
        <v>73</v>
      </c>
      <c r="AA95">
        <v>1</v>
      </c>
      <c r="AB95" t="s">
        <v>11</v>
      </c>
      <c r="AC95">
        <v>-0.82</v>
      </c>
      <c r="AD95">
        <v>-0.01</v>
      </c>
      <c r="AE95" s="11">
        <v>0.82</v>
      </c>
    </row>
    <row r="96" spans="6:31" x14ac:dyDescent="0.35">
      <c r="F96" s="9">
        <v>8</v>
      </c>
      <c r="G96" t="s">
        <v>80</v>
      </c>
      <c r="H96">
        <v>1</v>
      </c>
      <c r="I96">
        <v>18</v>
      </c>
      <c r="J96">
        <v>1.0900000000000001</v>
      </c>
      <c r="K96">
        <v>19.62</v>
      </c>
      <c r="L96">
        <v>-34.31</v>
      </c>
      <c r="M96">
        <v>0</v>
      </c>
      <c r="N96">
        <v>25.79</v>
      </c>
      <c r="T96">
        <v>0</v>
      </c>
      <c r="U96">
        <v>0</v>
      </c>
      <c r="V96">
        <v>1</v>
      </c>
      <c r="W96">
        <v>1</v>
      </c>
      <c r="Y96">
        <v>8</v>
      </c>
      <c r="Z96" t="s">
        <v>80</v>
      </c>
      <c r="AA96">
        <v>1</v>
      </c>
      <c r="AB96" t="s">
        <v>9</v>
      </c>
      <c r="AC96">
        <v>-0.01</v>
      </c>
      <c r="AD96">
        <v>0</v>
      </c>
      <c r="AE96" s="11">
        <v>0.01</v>
      </c>
    </row>
    <row r="97" spans="6:32" x14ac:dyDescent="0.35">
      <c r="F97" s="9">
        <v>9</v>
      </c>
      <c r="G97" t="s">
        <v>72</v>
      </c>
      <c r="H97">
        <v>1</v>
      </c>
      <c r="I97">
        <v>13.8</v>
      </c>
      <c r="J97">
        <v>1.0537399999999999</v>
      </c>
      <c r="K97">
        <v>14.542</v>
      </c>
      <c r="L97">
        <v>-35.409999999999997</v>
      </c>
      <c r="O97">
        <v>29.5</v>
      </c>
      <c r="P97">
        <v>16.600000000000001</v>
      </c>
      <c r="Q97">
        <v>0</v>
      </c>
      <c r="R97">
        <v>0</v>
      </c>
      <c r="S97">
        <v>21.1</v>
      </c>
      <c r="T97">
        <v>0</v>
      </c>
      <c r="U97">
        <v>0</v>
      </c>
      <c r="V97">
        <v>1</v>
      </c>
      <c r="W97">
        <v>1</v>
      </c>
      <c r="Y97">
        <v>9</v>
      </c>
      <c r="Z97" t="s">
        <v>72</v>
      </c>
      <c r="AA97">
        <v>1</v>
      </c>
      <c r="AB97" t="s">
        <v>11</v>
      </c>
      <c r="AC97">
        <v>-0.74</v>
      </c>
      <c r="AD97">
        <v>0.28999999999999998</v>
      </c>
      <c r="AE97" s="11">
        <v>0.8</v>
      </c>
    </row>
    <row r="98" spans="6:32" x14ac:dyDescent="0.35">
      <c r="F98" s="9">
        <v>10</v>
      </c>
      <c r="G98" t="s">
        <v>75</v>
      </c>
      <c r="H98">
        <v>1</v>
      </c>
      <c r="I98">
        <v>13.8</v>
      </c>
      <c r="J98">
        <v>1.0491900000000001</v>
      </c>
      <c r="K98">
        <v>14.478999999999999</v>
      </c>
      <c r="L98">
        <v>-35.590000000000003</v>
      </c>
      <c r="O98">
        <v>9</v>
      </c>
      <c r="P98">
        <v>5.8</v>
      </c>
      <c r="Q98">
        <v>0</v>
      </c>
      <c r="R98">
        <v>0</v>
      </c>
      <c r="T98">
        <v>0</v>
      </c>
      <c r="U98">
        <v>0</v>
      </c>
      <c r="V98">
        <v>1</v>
      </c>
      <c r="W98">
        <v>1</v>
      </c>
      <c r="Y98">
        <v>10</v>
      </c>
      <c r="Z98" t="s">
        <v>75</v>
      </c>
      <c r="AA98">
        <v>1</v>
      </c>
      <c r="AB98" t="s">
        <v>11</v>
      </c>
      <c r="AC98">
        <v>-0.24</v>
      </c>
      <c r="AD98">
        <v>0.1</v>
      </c>
      <c r="AE98" s="11">
        <v>0.26</v>
      </c>
    </row>
    <row r="99" spans="6:32" x14ac:dyDescent="0.35">
      <c r="F99" s="9">
        <v>11</v>
      </c>
      <c r="G99" t="s">
        <v>82</v>
      </c>
      <c r="H99">
        <v>1</v>
      </c>
      <c r="I99">
        <v>13.8</v>
      </c>
      <c r="J99">
        <v>1.05602</v>
      </c>
      <c r="K99">
        <v>14.573</v>
      </c>
      <c r="L99">
        <v>-35.35</v>
      </c>
      <c r="O99">
        <v>3.5</v>
      </c>
      <c r="P99">
        <v>1.8</v>
      </c>
      <c r="Q99">
        <v>0</v>
      </c>
      <c r="R99">
        <v>0</v>
      </c>
      <c r="T99">
        <v>0</v>
      </c>
      <c r="U99">
        <v>0</v>
      </c>
      <c r="V99">
        <v>1</v>
      </c>
      <c r="W99">
        <v>1</v>
      </c>
      <c r="Y99">
        <v>11</v>
      </c>
      <c r="Z99" t="s">
        <v>82</v>
      </c>
      <c r="AA99">
        <v>1</v>
      </c>
      <c r="AB99" t="s">
        <v>11</v>
      </c>
      <c r="AC99">
        <v>0</v>
      </c>
      <c r="AD99">
        <v>0</v>
      </c>
      <c r="AE99" s="11">
        <v>0</v>
      </c>
    </row>
    <row r="100" spans="6:32" x14ac:dyDescent="0.35">
      <c r="F100" s="9">
        <v>12</v>
      </c>
      <c r="G100" t="s">
        <v>76</v>
      </c>
      <c r="H100">
        <v>1</v>
      </c>
      <c r="I100">
        <v>13.8</v>
      </c>
      <c r="J100">
        <v>1.05491</v>
      </c>
      <c r="K100">
        <v>14.558</v>
      </c>
      <c r="L100">
        <v>-35.68</v>
      </c>
      <c r="O100">
        <v>6.1</v>
      </c>
      <c r="P100">
        <v>1.6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</v>
      </c>
      <c r="Y100">
        <v>12</v>
      </c>
      <c r="Z100" t="s">
        <v>76</v>
      </c>
      <c r="AA100">
        <v>1</v>
      </c>
      <c r="AB100" t="s">
        <v>11</v>
      </c>
      <c r="AC100">
        <v>-0.12</v>
      </c>
      <c r="AD100">
        <v>0.14000000000000001</v>
      </c>
      <c r="AE100" s="11">
        <v>0.18</v>
      </c>
    </row>
    <row r="101" spans="6:32" x14ac:dyDescent="0.35">
      <c r="F101" s="9">
        <v>13</v>
      </c>
      <c r="G101" t="s">
        <v>78</v>
      </c>
      <c r="H101">
        <v>1</v>
      </c>
      <c r="I101">
        <v>13.8</v>
      </c>
      <c r="J101">
        <v>1.0500499999999999</v>
      </c>
      <c r="K101">
        <v>14.491</v>
      </c>
      <c r="L101">
        <v>-35.75</v>
      </c>
      <c r="O101">
        <v>13.5</v>
      </c>
      <c r="P101">
        <v>5.8</v>
      </c>
      <c r="Q101">
        <v>0</v>
      </c>
      <c r="R101">
        <v>0</v>
      </c>
      <c r="T101">
        <v>0</v>
      </c>
      <c r="U101">
        <v>0</v>
      </c>
      <c r="V101">
        <v>1</v>
      </c>
      <c r="W101">
        <v>1</v>
      </c>
      <c r="Y101">
        <v>13</v>
      </c>
      <c r="Z101" t="s">
        <v>78</v>
      </c>
      <c r="AA101">
        <v>1</v>
      </c>
      <c r="AB101" t="s">
        <v>11</v>
      </c>
      <c r="AC101">
        <v>-0.12</v>
      </c>
      <c r="AD101">
        <v>0.06</v>
      </c>
      <c r="AE101" s="11">
        <v>0.14000000000000001</v>
      </c>
    </row>
    <row r="102" spans="6:32" ht="15" thickBot="1" x14ac:dyDescent="0.4">
      <c r="F102" s="12">
        <v>14</v>
      </c>
      <c r="G102" s="13" t="s">
        <v>81</v>
      </c>
      <c r="H102" s="13">
        <v>1</v>
      </c>
      <c r="I102" s="13">
        <v>13.8</v>
      </c>
      <c r="J102" s="13">
        <v>1.03413</v>
      </c>
      <c r="K102" s="13">
        <v>14.271000000000001</v>
      </c>
      <c r="L102" s="13">
        <v>-36.56</v>
      </c>
      <c r="M102" s="13"/>
      <c r="N102" s="13"/>
      <c r="O102" s="13">
        <v>14.9</v>
      </c>
      <c r="P102" s="13">
        <v>5</v>
      </c>
      <c r="Q102" s="13">
        <v>0</v>
      </c>
      <c r="R102" s="13">
        <v>0</v>
      </c>
      <c r="S102" s="13"/>
      <c r="T102" s="13">
        <v>0</v>
      </c>
      <c r="U102" s="13">
        <v>0</v>
      </c>
      <c r="V102" s="13">
        <v>1</v>
      </c>
      <c r="W102" s="13">
        <v>1</v>
      </c>
      <c r="X102" s="13"/>
      <c r="Y102" s="13">
        <v>14</v>
      </c>
      <c r="Z102" s="13" t="s">
        <v>81</v>
      </c>
      <c r="AA102" s="13">
        <v>1</v>
      </c>
      <c r="AB102" s="13" t="s">
        <v>11</v>
      </c>
      <c r="AC102" s="13">
        <v>0</v>
      </c>
      <c r="AD102" s="13">
        <v>0</v>
      </c>
      <c r="AE102" s="14">
        <v>0</v>
      </c>
    </row>
    <row r="104" spans="6:32" x14ac:dyDescent="0.35">
      <c r="F104" s="9"/>
      <c r="AF104" s="11"/>
    </row>
    <row r="105" spans="6:32" x14ac:dyDescent="0.35">
      <c r="F105" s="9" t="s">
        <v>107</v>
      </c>
      <c r="H105" s="10" t="s">
        <v>108</v>
      </c>
      <c r="AF105" s="11"/>
    </row>
    <row r="106" spans="6:32" x14ac:dyDescent="0.35">
      <c r="F106" s="9" t="s">
        <v>8</v>
      </c>
      <c r="Y106" t="s">
        <v>8</v>
      </c>
      <c r="AF106" s="11"/>
    </row>
    <row r="107" spans="6:32" x14ac:dyDescent="0.35">
      <c r="F107" s="9" t="s">
        <v>64</v>
      </c>
      <c r="G107" t="s">
        <v>65</v>
      </c>
      <c r="H107" t="s">
        <v>66</v>
      </c>
      <c r="I107" t="s">
        <v>85</v>
      </c>
      <c r="J107" t="s">
        <v>93</v>
      </c>
      <c r="K107" t="s">
        <v>94</v>
      </c>
      <c r="L107" t="s">
        <v>86</v>
      </c>
      <c r="M107" t="s">
        <v>87</v>
      </c>
      <c r="N107" t="s">
        <v>95</v>
      </c>
      <c r="O107" t="s">
        <v>88</v>
      </c>
      <c r="P107" t="s">
        <v>96</v>
      </c>
      <c r="Q107" t="s">
        <v>89</v>
      </c>
      <c r="R107" t="s">
        <v>97</v>
      </c>
      <c r="S107" t="s">
        <v>98</v>
      </c>
      <c r="T107" t="s">
        <v>90</v>
      </c>
      <c r="U107" t="s">
        <v>99</v>
      </c>
      <c r="V107" t="s">
        <v>91</v>
      </c>
      <c r="W107" t="s">
        <v>92</v>
      </c>
      <c r="Y107" t="s">
        <v>64</v>
      </c>
      <c r="Z107" t="s">
        <v>65</v>
      </c>
      <c r="AA107" t="s">
        <v>66</v>
      </c>
      <c r="AB107" t="s">
        <v>1</v>
      </c>
      <c r="AC107" t="s">
        <v>67</v>
      </c>
      <c r="AD107" t="s">
        <v>68</v>
      </c>
      <c r="AE107" t="s">
        <v>69</v>
      </c>
      <c r="AF107" s="11"/>
    </row>
    <row r="108" spans="6:32" x14ac:dyDescent="0.35">
      <c r="F108" s="9">
        <v>1</v>
      </c>
      <c r="G108" t="s">
        <v>83</v>
      </c>
      <c r="H108">
        <v>1</v>
      </c>
      <c r="I108">
        <v>69</v>
      </c>
      <c r="J108">
        <v>1.06</v>
      </c>
      <c r="K108">
        <v>73.14</v>
      </c>
      <c r="L108">
        <v>-20.69</v>
      </c>
      <c r="M108">
        <v>156.12</v>
      </c>
      <c r="N108">
        <v>-10.130000000000001</v>
      </c>
      <c r="T108">
        <v>0</v>
      </c>
      <c r="U108">
        <v>0</v>
      </c>
      <c r="V108">
        <v>1</v>
      </c>
      <c r="W108">
        <v>1</v>
      </c>
      <c r="Y108">
        <v>1</v>
      </c>
      <c r="Z108" t="s">
        <v>83</v>
      </c>
      <c r="AA108">
        <v>1</v>
      </c>
      <c r="AB108" t="s">
        <v>84</v>
      </c>
      <c r="AC108">
        <v>0</v>
      </c>
      <c r="AD108">
        <v>0</v>
      </c>
      <c r="AE108">
        <v>0</v>
      </c>
      <c r="AF108" s="11"/>
    </row>
    <row r="109" spans="6:32" x14ac:dyDescent="0.35">
      <c r="F109" s="9">
        <v>2</v>
      </c>
      <c r="G109" t="s">
        <v>74</v>
      </c>
      <c r="H109">
        <v>1</v>
      </c>
      <c r="I109">
        <v>69</v>
      </c>
      <c r="J109">
        <v>1.0449999999999999</v>
      </c>
      <c r="K109">
        <v>72.105000000000004</v>
      </c>
      <c r="L109">
        <v>-23.9</v>
      </c>
      <c r="M109">
        <v>40</v>
      </c>
      <c r="N109">
        <v>12.94</v>
      </c>
      <c r="O109">
        <v>21.7</v>
      </c>
      <c r="P109">
        <v>12.7</v>
      </c>
      <c r="Q109">
        <v>0</v>
      </c>
      <c r="R109">
        <v>0</v>
      </c>
      <c r="T109">
        <v>0</v>
      </c>
      <c r="U109">
        <v>0</v>
      </c>
      <c r="V109">
        <v>1</v>
      </c>
      <c r="W109">
        <v>1</v>
      </c>
      <c r="Y109">
        <v>2</v>
      </c>
      <c r="Z109" t="s">
        <v>74</v>
      </c>
      <c r="AA109">
        <v>1</v>
      </c>
      <c r="AB109" t="s">
        <v>9</v>
      </c>
      <c r="AC109">
        <v>16.43</v>
      </c>
      <c r="AD109">
        <v>0</v>
      </c>
      <c r="AE109">
        <v>16.43</v>
      </c>
      <c r="AF109" s="11"/>
    </row>
    <row r="110" spans="6:32" x14ac:dyDescent="0.35">
      <c r="F110" s="9">
        <v>3</v>
      </c>
      <c r="G110" t="s">
        <v>77</v>
      </c>
      <c r="H110">
        <v>1</v>
      </c>
      <c r="I110">
        <v>69</v>
      </c>
      <c r="J110">
        <v>1.01</v>
      </c>
      <c r="K110">
        <v>69.69</v>
      </c>
      <c r="L110">
        <v>-27.46</v>
      </c>
      <c r="M110">
        <v>65</v>
      </c>
      <c r="N110">
        <v>-6.1</v>
      </c>
      <c r="O110">
        <v>94.2</v>
      </c>
      <c r="P110">
        <v>19</v>
      </c>
      <c r="Q110">
        <v>0</v>
      </c>
      <c r="R110">
        <v>0</v>
      </c>
      <c r="T110">
        <v>0</v>
      </c>
      <c r="U110">
        <v>0</v>
      </c>
      <c r="V110">
        <v>1</v>
      </c>
      <c r="W110">
        <v>1</v>
      </c>
      <c r="Y110">
        <v>3</v>
      </c>
      <c r="Z110" t="s">
        <v>77</v>
      </c>
      <c r="AA110">
        <v>1</v>
      </c>
      <c r="AB110" t="s">
        <v>9</v>
      </c>
      <c r="AC110">
        <v>9.6</v>
      </c>
      <c r="AD110">
        <v>0</v>
      </c>
      <c r="AE110">
        <v>9.6</v>
      </c>
      <c r="AF110" s="11"/>
    </row>
    <row r="111" spans="6:32" x14ac:dyDescent="0.35">
      <c r="F111" s="9">
        <v>4</v>
      </c>
      <c r="G111" t="s">
        <v>70</v>
      </c>
      <c r="H111">
        <v>1</v>
      </c>
      <c r="I111">
        <v>69</v>
      </c>
      <c r="J111">
        <v>1.0356799999999999</v>
      </c>
      <c r="K111">
        <v>71.462000000000003</v>
      </c>
      <c r="L111">
        <v>-27.62</v>
      </c>
      <c r="O111">
        <v>47.8</v>
      </c>
      <c r="P111">
        <v>-3.9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</v>
      </c>
      <c r="Y111">
        <v>4</v>
      </c>
      <c r="Z111" t="s">
        <v>70</v>
      </c>
      <c r="AA111">
        <v>1</v>
      </c>
      <c r="AB111" t="s">
        <v>11</v>
      </c>
      <c r="AC111">
        <v>-23.7</v>
      </c>
      <c r="AD111">
        <v>-0.66</v>
      </c>
      <c r="AE111">
        <v>23.71</v>
      </c>
      <c r="AF111" s="11"/>
    </row>
    <row r="112" spans="6:32" x14ac:dyDescent="0.35">
      <c r="F112" s="9">
        <v>5</v>
      </c>
      <c r="G112" t="s">
        <v>79</v>
      </c>
      <c r="H112">
        <v>1</v>
      </c>
      <c r="I112">
        <v>69</v>
      </c>
      <c r="J112">
        <v>1.03976</v>
      </c>
      <c r="K112">
        <v>71.742999999999995</v>
      </c>
      <c r="L112">
        <v>-26.81</v>
      </c>
      <c r="O112">
        <v>7.6</v>
      </c>
      <c r="P112">
        <v>1.6</v>
      </c>
      <c r="Q112">
        <v>0</v>
      </c>
      <c r="R112">
        <v>0</v>
      </c>
      <c r="T112">
        <v>0</v>
      </c>
      <c r="U112">
        <v>0</v>
      </c>
      <c r="V112">
        <v>1</v>
      </c>
      <c r="W112">
        <v>1</v>
      </c>
      <c r="Y112">
        <v>5</v>
      </c>
      <c r="Z112" t="s">
        <v>79</v>
      </c>
      <c r="AA112">
        <v>1</v>
      </c>
      <c r="AB112" t="s">
        <v>11</v>
      </c>
      <c r="AC112">
        <v>-14.25</v>
      </c>
      <c r="AD112">
        <v>0.42</v>
      </c>
      <c r="AE112">
        <v>14.25</v>
      </c>
      <c r="AF112" s="11"/>
    </row>
    <row r="113" spans="6:32" x14ac:dyDescent="0.35">
      <c r="F113" s="9">
        <v>6</v>
      </c>
      <c r="G113" t="s">
        <v>71</v>
      </c>
      <c r="H113">
        <v>1</v>
      </c>
      <c r="I113">
        <v>13.8</v>
      </c>
      <c r="J113">
        <v>1.07</v>
      </c>
      <c r="K113">
        <v>14.766</v>
      </c>
      <c r="L113">
        <v>-35.49</v>
      </c>
      <c r="M113">
        <v>0</v>
      </c>
      <c r="N113">
        <v>39.74</v>
      </c>
      <c r="O113">
        <v>11.2</v>
      </c>
      <c r="P113">
        <v>7.5</v>
      </c>
      <c r="Q113">
        <v>0</v>
      </c>
      <c r="R113">
        <v>0</v>
      </c>
      <c r="T113">
        <v>0</v>
      </c>
      <c r="U113">
        <v>0</v>
      </c>
      <c r="V113">
        <v>1</v>
      </c>
      <c r="W113">
        <v>1</v>
      </c>
      <c r="Y113">
        <v>6</v>
      </c>
      <c r="Z113" t="s">
        <v>71</v>
      </c>
      <c r="AA113">
        <v>1</v>
      </c>
      <c r="AB113" t="s">
        <v>9</v>
      </c>
      <c r="AC113">
        <v>50.3</v>
      </c>
      <c r="AD113">
        <v>0</v>
      </c>
      <c r="AE113">
        <v>50.3</v>
      </c>
      <c r="AF113" s="11"/>
    </row>
    <row r="114" spans="6:32" x14ac:dyDescent="0.35">
      <c r="F114" s="9">
        <v>7</v>
      </c>
      <c r="G114" t="s">
        <v>73</v>
      </c>
      <c r="H114">
        <v>1</v>
      </c>
      <c r="I114">
        <v>13.8</v>
      </c>
      <c r="J114">
        <v>1.06524</v>
      </c>
      <c r="K114">
        <v>14.7</v>
      </c>
      <c r="L114">
        <v>-33.770000000000003</v>
      </c>
      <c r="O114">
        <v>0</v>
      </c>
      <c r="P114">
        <v>0</v>
      </c>
      <c r="Q114">
        <v>0</v>
      </c>
      <c r="R114">
        <v>0</v>
      </c>
      <c r="T114">
        <v>0</v>
      </c>
      <c r="U114">
        <v>0</v>
      </c>
      <c r="V114">
        <v>1</v>
      </c>
      <c r="W114">
        <v>1</v>
      </c>
      <c r="Y114">
        <v>7</v>
      </c>
      <c r="Z114" t="s">
        <v>73</v>
      </c>
      <c r="AA114">
        <v>1</v>
      </c>
      <c r="AB114" t="s">
        <v>11</v>
      </c>
      <c r="AC114">
        <v>-2.74</v>
      </c>
      <c r="AD114">
        <v>-0.03</v>
      </c>
      <c r="AE114">
        <v>2.74</v>
      </c>
      <c r="AF114" s="11"/>
    </row>
    <row r="115" spans="6:32" x14ac:dyDescent="0.35">
      <c r="F115" s="9">
        <v>8</v>
      </c>
      <c r="G115" t="s">
        <v>80</v>
      </c>
      <c r="H115">
        <v>1</v>
      </c>
      <c r="I115">
        <v>18</v>
      </c>
      <c r="J115">
        <v>1.0900000000000001</v>
      </c>
      <c r="K115">
        <v>19.62</v>
      </c>
      <c r="L115">
        <v>-33.81</v>
      </c>
      <c r="M115">
        <v>0</v>
      </c>
      <c r="N115">
        <v>24.16</v>
      </c>
      <c r="T115">
        <v>0</v>
      </c>
      <c r="U115">
        <v>0</v>
      </c>
      <c r="V115">
        <v>1</v>
      </c>
      <c r="W115">
        <v>1</v>
      </c>
      <c r="Y115">
        <v>8</v>
      </c>
      <c r="Z115" t="s">
        <v>80</v>
      </c>
      <c r="AA115">
        <v>1</v>
      </c>
      <c r="AB115" t="s">
        <v>9</v>
      </c>
      <c r="AC115">
        <v>0.44</v>
      </c>
      <c r="AD115">
        <v>0</v>
      </c>
      <c r="AE115">
        <v>0.44</v>
      </c>
      <c r="AF115" s="11"/>
    </row>
    <row r="116" spans="6:32" x14ac:dyDescent="0.35">
      <c r="F116" s="9">
        <v>9</v>
      </c>
      <c r="G116" t="s">
        <v>72</v>
      </c>
      <c r="H116">
        <v>1</v>
      </c>
      <c r="I116">
        <v>13.8</v>
      </c>
      <c r="J116">
        <v>1.05732</v>
      </c>
      <c r="K116">
        <v>14.590999999999999</v>
      </c>
      <c r="L116">
        <v>-35</v>
      </c>
      <c r="O116">
        <v>29.5</v>
      </c>
      <c r="P116">
        <v>16.600000000000001</v>
      </c>
      <c r="Q116">
        <v>0</v>
      </c>
      <c r="R116">
        <v>0</v>
      </c>
      <c r="S116">
        <v>21.24</v>
      </c>
      <c r="T116">
        <v>0</v>
      </c>
      <c r="U116">
        <v>0</v>
      </c>
      <c r="V116">
        <v>1</v>
      </c>
      <c r="W116">
        <v>1</v>
      </c>
      <c r="Y116">
        <v>9</v>
      </c>
      <c r="Z116" t="s">
        <v>72</v>
      </c>
      <c r="AA116">
        <v>1</v>
      </c>
      <c r="AB116" t="s">
        <v>11</v>
      </c>
      <c r="AC116">
        <v>1.26</v>
      </c>
      <c r="AD116">
        <v>1.1000000000000001</v>
      </c>
      <c r="AE116">
        <v>1.67</v>
      </c>
      <c r="AF116" s="11"/>
    </row>
    <row r="117" spans="6:32" x14ac:dyDescent="0.35">
      <c r="F117" s="9">
        <v>10</v>
      </c>
      <c r="G117" t="s">
        <v>75</v>
      </c>
      <c r="H117">
        <v>1</v>
      </c>
      <c r="I117">
        <v>13.8</v>
      </c>
      <c r="J117">
        <v>1.05339</v>
      </c>
      <c r="K117">
        <v>14.537000000000001</v>
      </c>
      <c r="L117">
        <v>-35.22</v>
      </c>
      <c r="O117">
        <v>9</v>
      </c>
      <c r="P117">
        <v>5.8</v>
      </c>
      <c r="Q117">
        <v>0</v>
      </c>
      <c r="R117">
        <v>0</v>
      </c>
      <c r="T117">
        <v>0</v>
      </c>
      <c r="U117">
        <v>0</v>
      </c>
      <c r="V117">
        <v>1</v>
      </c>
      <c r="W117">
        <v>1</v>
      </c>
      <c r="Y117">
        <v>10</v>
      </c>
      <c r="Z117" t="s">
        <v>75</v>
      </c>
      <c r="AA117">
        <v>1</v>
      </c>
      <c r="AB117" t="s">
        <v>11</v>
      </c>
      <c r="AC117">
        <v>3.45</v>
      </c>
      <c r="AD117">
        <v>0.11</v>
      </c>
      <c r="AE117">
        <v>3.45</v>
      </c>
      <c r="AF117" s="11"/>
    </row>
    <row r="118" spans="6:32" x14ac:dyDescent="0.35">
      <c r="F118" s="9">
        <v>11</v>
      </c>
      <c r="G118" t="s">
        <v>82</v>
      </c>
      <c r="H118">
        <v>1</v>
      </c>
      <c r="I118">
        <v>13.8</v>
      </c>
      <c r="J118">
        <v>1.0644400000000001</v>
      </c>
      <c r="K118">
        <v>14.689</v>
      </c>
      <c r="L118">
        <v>-34.72</v>
      </c>
      <c r="O118">
        <v>3.5</v>
      </c>
      <c r="P118">
        <v>1.8</v>
      </c>
      <c r="Q118">
        <v>0</v>
      </c>
      <c r="R118">
        <v>0</v>
      </c>
      <c r="T118">
        <v>0</v>
      </c>
      <c r="U118">
        <v>0</v>
      </c>
      <c r="V118">
        <v>1</v>
      </c>
      <c r="W118">
        <v>1</v>
      </c>
      <c r="Y118">
        <v>11</v>
      </c>
      <c r="Z118" t="s">
        <v>82</v>
      </c>
      <c r="AA118">
        <v>1</v>
      </c>
      <c r="AB118" t="s">
        <v>11</v>
      </c>
      <c r="AC118">
        <v>-15.14</v>
      </c>
      <c r="AD118">
        <v>0.21</v>
      </c>
      <c r="AE118">
        <v>15.14</v>
      </c>
      <c r="AF118" s="11"/>
    </row>
    <row r="119" spans="6:32" x14ac:dyDescent="0.35">
      <c r="F119" s="9">
        <v>12</v>
      </c>
      <c r="G119" t="s">
        <v>76</v>
      </c>
      <c r="H119">
        <v>1</v>
      </c>
      <c r="I119">
        <v>13.8</v>
      </c>
      <c r="J119">
        <v>1.06768</v>
      </c>
      <c r="K119">
        <v>14.734</v>
      </c>
      <c r="L119">
        <v>-34.909999999999997</v>
      </c>
      <c r="O119">
        <v>6.1</v>
      </c>
      <c r="P119">
        <v>1.6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1</v>
      </c>
      <c r="Y119">
        <v>12</v>
      </c>
      <c r="Z119" t="s">
        <v>76</v>
      </c>
      <c r="AA119">
        <v>1</v>
      </c>
      <c r="AB119" t="s">
        <v>11</v>
      </c>
      <c r="AC119">
        <v>-11.94</v>
      </c>
      <c r="AD119">
        <v>0.16</v>
      </c>
      <c r="AE119">
        <v>11.94</v>
      </c>
      <c r="AF119" s="11"/>
    </row>
    <row r="120" spans="6:32" x14ac:dyDescent="0.35">
      <c r="F120" s="9">
        <v>13</v>
      </c>
      <c r="G120" t="s">
        <v>78</v>
      </c>
      <c r="H120">
        <v>1</v>
      </c>
      <c r="I120">
        <v>13.8</v>
      </c>
      <c r="J120">
        <v>1.0609500000000001</v>
      </c>
      <c r="K120">
        <v>14.641</v>
      </c>
      <c r="L120">
        <v>-35.090000000000003</v>
      </c>
      <c r="O120">
        <v>13.5</v>
      </c>
      <c r="P120">
        <v>5.8</v>
      </c>
      <c r="Q120">
        <v>0</v>
      </c>
      <c r="R120">
        <v>0</v>
      </c>
      <c r="T120">
        <v>0</v>
      </c>
      <c r="U120">
        <v>0</v>
      </c>
      <c r="V120">
        <v>1</v>
      </c>
      <c r="W120">
        <v>1</v>
      </c>
      <c r="Y120">
        <v>13</v>
      </c>
      <c r="Z120" t="s">
        <v>78</v>
      </c>
      <c r="AA120">
        <v>1</v>
      </c>
      <c r="AB120" t="s">
        <v>11</v>
      </c>
      <c r="AC120">
        <v>-21.17</v>
      </c>
      <c r="AD120">
        <v>0.4</v>
      </c>
      <c r="AE120">
        <v>21.17</v>
      </c>
      <c r="AF120" s="11"/>
    </row>
    <row r="121" spans="6:32" x14ac:dyDescent="0.35">
      <c r="F121" s="9">
        <v>14</v>
      </c>
      <c r="G121" t="s">
        <v>81</v>
      </c>
      <c r="H121">
        <v>1</v>
      </c>
      <c r="I121">
        <v>13.8</v>
      </c>
      <c r="J121">
        <v>1.0384199999999999</v>
      </c>
      <c r="K121">
        <v>14.33</v>
      </c>
      <c r="L121">
        <v>-36.340000000000003</v>
      </c>
      <c r="O121">
        <v>14.9</v>
      </c>
      <c r="P121">
        <v>5</v>
      </c>
      <c r="Q121">
        <v>0</v>
      </c>
      <c r="R121">
        <v>0</v>
      </c>
      <c r="T121">
        <v>0</v>
      </c>
      <c r="U121">
        <v>0</v>
      </c>
      <c r="V121">
        <v>1</v>
      </c>
      <c r="W121">
        <v>1</v>
      </c>
      <c r="Y121">
        <v>14</v>
      </c>
      <c r="Z121" t="s">
        <v>81</v>
      </c>
      <c r="AA121">
        <v>1</v>
      </c>
      <c r="AB121" t="s">
        <v>11</v>
      </c>
      <c r="AC121">
        <v>3.81</v>
      </c>
      <c r="AD121">
        <v>-0.17</v>
      </c>
      <c r="AE121">
        <v>3.81</v>
      </c>
      <c r="AF121" s="11"/>
    </row>
    <row r="122" spans="6:32" x14ac:dyDescent="0.35">
      <c r="F122" s="9"/>
      <c r="AF122" s="11"/>
    </row>
    <row r="123" spans="6:32" x14ac:dyDescent="0.35">
      <c r="F123" s="9" t="s">
        <v>109</v>
      </c>
      <c r="AF123" s="11"/>
    </row>
    <row r="124" spans="6:32" x14ac:dyDescent="0.35">
      <c r="F124" s="9" t="s">
        <v>8</v>
      </c>
      <c r="Y124" t="s">
        <v>8</v>
      </c>
      <c r="AF124" s="11"/>
    </row>
    <row r="125" spans="6:32" x14ac:dyDescent="0.35">
      <c r="F125" s="9" t="s">
        <v>64</v>
      </c>
      <c r="G125" t="s">
        <v>65</v>
      </c>
      <c r="H125" t="s">
        <v>66</v>
      </c>
      <c r="I125" t="s">
        <v>85</v>
      </c>
      <c r="J125" t="s">
        <v>93</v>
      </c>
      <c r="K125" t="s">
        <v>94</v>
      </c>
      <c r="L125" t="s">
        <v>86</v>
      </c>
      <c r="M125" t="s">
        <v>87</v>
      </c>
      <c r="N125" t="s">
        <v>95</v>
      </c>
      <c r="O125" t="s">
        <v>88</v>
      </c>
      <c r="P125" t="s">
        <v>96</v>
      </c>
      <c r="Q125" t="s">
        <v>89</v>
      </c>
      <c r="R125" t="s">
        <v>97</v>
      </c>
      <c r="S125" t="s">
        <v>98</v>
      </c>
      <c r="T125" t="s">
        <v>90</v>
      </c>
      <c r="U125" t="s">
        <v>99</v>
      </c>
      <c r="V125" t="s">
        <v>91</v>
      </c>
      <c r="W125" t="s">
        <v>92</v>
      </c>
      <c r="Y125" t="s">
        <v>64</v>
      </c>
      <c r="Z125" t="s">
        <v>65</v>
      </c>
      <c r="AA125" t="s">
        <v>66</v>
      </c>
      <c r="AB125" t="s">
        <v>1</v>
      </c>
      <c r="AC125" t="s">
        <v>67</v>
      </c>
      <c r="AD125" t="s">
        <v>68</v>
      </c>
      <c r="AE125" t="s">
        <v>69</v>
      </c>
      <c r="AF125" s="11"/>
    </row>
    <row r="126" spans="6:32" x14ac:dyDescent="0.35">
      <c r="F126" s="9">
        <v>1</v>
      </c>
      <c r="G126" t="s">
        <v>83</v>
      </c>
      <c r="H126">
        <v>1</v>
      </c>
      <c r="I126">
        <v>69</v>
      </c>
      <c r="J126">
        <v>1.06</v>
      </c>
      <c r="K126">
        <v>73.14</v>
      </c>
      <c r="L126">
        <v>-20.69</v>
      </c>
      <c r="M126">
        <v>160.78</v>
      </c>
      <c r="N126">
        <v>-9.59</v>
      </c>
      <c r="T126">
        <v>0</v>
      </c>
      <c r="U126">
        <v>0</v>
      </c>
      <c r="V126">
        <v>1</v>
      </c>
      <c r="W126">
        <v>1</v>
      </c>
      <c r="Y126">
        <v>1</v>
      </c>
      <c r="Z126" t="s">
        <v>83</v>
      </c>
      <c r="AA126">
        <v>1</v>
      </c>
      <c r="AB126" t="s">
        <v>84</v>
      </c>
      <c r="AC126">
        <v>0</v>
      </c>
      <c r="AD126">
        <v>0</v>
      </c>
      <c r="AE126">
        <v>0</v>
      </c>
      <c r="AF126" s="11"/>
    </row>
    <row r="127" spans="6:32" x14ac:dyDescent="0.35">
      <c r="F127" s="9">
        <v>2</v>
      </c>
      <c r="G127" t="s">
        <v>74</v>
      </c>
      <c r="H127">
        <v>1</v>
      </c>
      <c r="I127">
        <v>69</v>
      </c>
      <c r="J127">
        <v>1.0449999999999999</v>
      </c>
      <c r="K127">
        <v>72.105000000000004</v>
      </c>
      <c r="L127">
        <v>-23.87</v>
      </c>
      <c r="M127">
        <v>40</v>
      </c>
      <c r="N127">
        <v>7.48</v>
      </c>
      <c r="O127">
        <v>21.7</v>
      </c>
      <c r="P127">
        <v>12.7</v>
      </c>
      <c r="Q127">
        <v>0</v>
      </c>
      <c r="R127">
        <v>0</v>
      </c>
      <c r="T127">
        <v>0</v>
      </c>
      <c r="U127">
        <v>0</v>
      </c>
      <c r="V127">
        <v>1</v>
      </c>
      <c r="W127">
        <v>1</v>
      </c>
      <c r="Y127">
        <v>2</v>
      </c>
      <c r="Z127" t="s">
        <v>74</v>
      </c>
      <c r="AA127">
        <v>1</v>
      </c>
      <c r="AB127" t="s">
        <v>9</v>
      </c>
      <c r="AC127">
        <v>0</v>
      </c>
      <c r="AD127">
        <v>0</v>
      </c>
      <c r="AE127">
        <v>0</v>
      </c>
      <c r="AF127" s="11"/>
    </row>
    <row r="128" spans="6:32" x14ac:dyDescent="0.35">
      <c r="F128" s="9">
        <v>3</v>
      </c>
      <c r="G128" t="s">
        <v>77</v>
      </c>
      <c r="H128">
        <v>1</v>
      </c>
      <c r="I128">
        <v>69</v>
      </c>
      <c r="J128">
        <v>1.01755</v>
      </c>
      <c r="K128">
        <v>70.210999999999999</v>
      </c>
      <c r="L128">
        <v>-27.47</v>
      </c>
      <c r="M128">
        <v>65</v>
      </c>
      <c r="N128">
        <v>0</v>
      </c>
      <c r="O128">
        <v>94.2</v>
      </c>
      <c r="P128">
        <v>19</v>
      </c>
      <c r="Q128">
        <v>0</v>
      </c>
      <c r="R128">
        <v>0</v>
      </c>
      <c r="T128">
        <v>0</v>
      </c>
      <c r="U128">
        <v>0</v>
      </c>
      <c r="V128">
        <v>1</v>
      </c>
      <c r="W128">
        <v>1</v>
      </c>
      <c r="Y128">
        <v>3</v>
      </c>
      <c r="Z128" t="s">
        <v>77</v>
      </c>
      <c r="AA128">
        <v>1</v>
      </c>
      <c r="AB128" t="s">
        <v>100</v>
      </c>
      <c r="AC128">
        <v>0</v>
      </c>
      <c r="AD128">
        <v>0</v>
      </c>
      <c r="AE128">
        <v>0</v>
      </c>
      <c r="AF128" s="11"/>
    </row>
    <row r="129" spans="6:32" x14ac:dyDescent="0.35">
      <c r="F129" s="9">
        <v>4</v>
      </c>
      <c r="G129" t="s">
        <v>70</v>
      </c>
      <c r="H129">
        <v>1</v>
      </c>
      <c r="I129">
        <v>69</v>
      </c>
      <c r="J129">
        <v>1.03294</v>
      </c>
      <c r="K129">
        <v>71.272999999999996</v>
      </c>
      <c r="L129">
        <v>-28.42</v>
      </c>
      <c r="O129">
        <v>47.8</v>
      </c>
      <c r="P129">
        <v>-3.9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1</v>
      </c>
      <c r="Y129">
        <v>4</v>
      </c>
      <c r="Z129" t="s">
        <v>70</v>
      </c>
      <c r="AA129">
        <v>1</v>
      </c>
      <c r="AB129" t="s">
        <v>11</v>
      </c>
      <c r="AC129">
        <v>0</v>
      </c>
      <c r="AD129">
        <v>0</v>
      </c>
      <c r="AE129">
        <v>0</v>
      </c>
      <c r="AF129" s="11"/>
    </row>
    <row r="130" spans="6:32" x14ac:dyDescent="0.35">
      <c r="F130" s="9">
        <v>5</v>
      </c>
      <c r="G130" t="s">
        <v>79</v>
      </c>
      <c r="H130">
        <v>1</v>
      </c>
      <c r="I130">
        <v>69</v>
      </c>
      <c r="J130">
        <v>1.03762</v>
      </c>
      <c r="K130">
        <v>71.596000000000004</v>
      </c>
      <c r="L130">
        <v>-27.47</v>
      </c>
      <c r="O130">
        <v>7.6</v>
      </c>
      <c r="P130">
        <v>1.6</v>
      </c>
      <c r="Q130">
        <v>0</v>
      </c>
      <c r="R130">
        <v>0</v>
      </c>
      <c r="T130">
        <v>0</v>
      </c>
      <c r="U130">
        <v>0</v>
      </c>
      <c r="V130">
        <v>1</v>
      </c>
      <c r="W130">
        <v>1</v>
      </c>
      <c r="Y130">
        <v>5</v>
      </c>
      <c r="Z130" t="s">
        <v>79</v>
      </c>
      <c r="AA130">
        <v>1</v>
      </c>
      <c r="AB130" t="s">
        <v>11</v>
      </c>
      <c r="AC130">
        <v>0</v>
      </c>
      <c r="AD130">
        <v>0</v>
      </c>
      <c r="AE130">
        <v>0</v>
      </c>
      <c r="AF130" s="11"/>
    </row>
    <row r="131" spans="6:32" x14ac:dyDescent="0.35">
      <c r="F131" s="9">
        <v>6</v>
      </c>
      <c r="G131" t="s">
        <v>71</v>
      </c>
      <c r="H131">
        <v>1</v>
      </c>
      <c r="I131">
        <v>13.8</v>
      </c>
      <c r="J131">
        <v>1.07</v>
      </c>
      <c r="K131">
        <v>14.766</v>
      </c>
      <c r="L131">
        <v>-35.130000000000003</v>
      </c>
      <c r="M131">
        <v>0</v>
      </c>
      <c r="N131">
        <v>37.46</v>
      </c>
      <c r="O131">
        <v>11.2</v>
      </c>
      <c r="P131">
        <v>7.5</v>
      </c>
      <c r="Q131">
        <v>0</v>
      </c>
      <c r="R131">
        <v>0</v>
      </c>
      <c r="T131">
        <v>0</v>
      </c>
      <c r="U131">
        <v>0</v>
      </c>
      <c r="V131">
        <v>1</v>
      </c>
      <c r="W131">
        <v>1</v>
      </c>
      <c r="Y131">
        <v>6</v>
      </c>
      <c r="Z131" t="s">
        <v>71</v>
      </c>
      <c r="AA131">
        <v>1</v>
      </c>
      <c r="AB131" t="s">
        <v>9</v>
      </c>
      <c r="AC131">
        <v>0</v>
      </c>
      <c r="AD131">
        <v>0</v>
      </c>
      <c r="AE131">
        <v>0</v>
      </c>
      <c r="AF131" s="11"/>
    </row>
    <row r="132" spans="6:32" x14ac:dyDescent="0.35">
      <c r="F132" s="9">
        <v>7</v>
      </c>
      <c r="G132" t="s">
        <v>73</v>
      </c>
      <c r="H132">
        <v>1</v>
      </c>
      <c r="I132">
        <v>13.8</v>
      </c>
      <c r="J132">
        <v>1.06328</v>
      </c>
      <c r="K132">
        <v>14.673</v>
      </c>
      <c r="L132">
        <v>-34.590000000000003</v>
      </c>
      <c r="O132">
        <v>0</v>
      </c>
      <c r="P132">
        <v>0</v>
      </c>
      <c r="Q132">
        <v>0</v>
      </c>
      <c r="R132">
        <v>0</v>
      </c>
      <c r="T132">
        <v>0</v>
      </c>
      <c r="U132">
        <v>0</v>
      </c>
      <c r="V132">
        <v>1</v>
      </c>
      <c r="W132">
        <v>1</v>
      </c>
      <c r="Y132">
        <v>7</v>
      </c>
      <c r="Z132" t="s">
        <v>73</v>
      </c>
      <c r="AA132">
        <v>1</v>
      </c>
      <c r="AB132" t="s">
        <v>11</v>
      </c>
      <c r="AC132">
        <v>0</v>
      </c>
      <c r="AD132">
        <v>0</v>
      </c>
      <c r="AE132">
        <v>0</v>
      </c>
      <c r="AF132" s="11"/>
    </row>
    <row r="133" spans="6:32" x14ac:dyDescent="0.35">
      <c r="F133" s="9">
        <v>8</v>
      </c>
      <c r="G133" t="s">
        <v>80</v>
      </c>
      <c r="H133">
        <v>1</v>
      </c>
      <c r="I133">
        <v>18</v>
      </c>
      <c r="J133">
        <v>1.0900000000000001</v>
      </c>
      <c r="K133">
        <v>19.62</v>
      </c>
      <c r="L133">
        <v>-34.590000000000003</v>
      </c>
      <c r="M133">
        <v>0</v>
      </c>
      <c r="N133">
        <v>25.39</v>
      </c>
      <c r="T133">
        <v>0</v>
      </c>
      <c r="U133">
        <v>0</v>
      </c>
      <c r="V133">
        <v>1</v>
      </c>
      <c r="W133">
        <v>1</v>
      </c>
      <c r="Y133">
        <v>8</v>
      </c>
      <c r="Z133" t="s">
        <v>80</v>
      </c>
      <c r="AA133">
        <v>1</v>
      </c>
      <c r="AB133" t="s">
        <v>9</v>
      </c>
      <c r="AC133">
        <v>0</v>
      </c>
      <c r="AD133">
        <v>0</v>
      </c>
      <c r="AE133">
        <v>0</v>
      </c>
      <c r="AF133" s="11"/>
    </row>
    <row r="134" spans="6:32" x14ac:dyDescent="0.35">
      <c r="F134" s="9">
        <v>9</v>
      </c>
      <c r="G134" t="s">
        <v>72</v>
      </c>
      <c r="H134">
        <v>1</v>
      </c>
      <c r="I134">
        <v>13.8</v>
      </c>
      <c r="J134">
        <v>1.05453</v>
      </c>
      <c r="K134">
        <v>14.553000000000001</v>
      </c>
      <c r="L134">
        <v>-35.71</v>
      </c>
      <c r="O134">
        <v>29.5</v>
      </c>
      <c r="P134">
        <v>16.600000000000001</v>
      </c>
      <c r="Q134">
        <v>0</v>
      </c>
      <c r="R134">
        <v>0</v>
      </c>
      <c r="S134">
        <v>21.13</v>
      </c>
      <c r="T134">
        <v>0</v>
      </c>
      <c r="U134">
        <v>0</v>
      </c>
      <c r="V134">
        <v>1</v>
      </c>
      <c r="W134">
        <v>1</v>
      </c>
      <c r="Y134">
        <v>9</v>
      </c>
      <c r="Z134" t="s">
        <v>72</v>
      </c>
      <c r="AA134">
        <v>1</v>
      </c>
      <c r="AB134" t="s">
        <v>11</v>
      </c>
      <c r="AC134">
        <v>0</v>
      </c>
      <c r="AD134">
        <v>0</v>
      </c>
      <c r="AE134">
        <v>0</v>
      </c>
      <c r="AF134" s="11"/>
    </row>
    <row r="135" spans="6:32" x14ac:dyDescent="0.35">
      <c r="F135" s="9">
        <v>10</v>
      </c>
      <c r="G135" t="s">
        <v>75</v>
      </c>
      <c r="H135">
        <v>1</v>
      </c>
      <c r="I135">
        <v>13.8</v>
      </c>
      <c r="J135">
        <v>1.0498499999999999</v>
      </c>
      <c r="K135">
        <v>14.488</v>
      </c>
      <c r="L135">
        <v>-35.89</v>
      </c>
      <c r="O135">
        <v>9</v>
      </c>
      <c r="P135">
        <v>5.8</v>
      </c>
      <c r="Q135">
        <v>0</v>
      </c>
      <c r="R135">
        <v>0</v>
      </c>
      <c r="T135">
        <v>0</v>
      </c>
      <c r="U135">
        <v>0</v>
      </c>
      <c r="V135">
        <v>1</v>
      </c>
      <c r="W135">
        <v>1</v>
      </c>
      <c r="Y135">
        <v>10</v>
      </c>
      <c r="Z135" t="s">
        <v>75</v>
      </c>
      <c r="AA135">
        <v>1</v>
      </c>
      <c r="AB135" t="s">
        <v>11</v>
      </c>
      <c r="AC135">
        <v>0</v>
      </c>
      <c r="AD135">
        <v>0</v>
      </c>
      <c r="AE135">
        <v>0</v>
      </c>
      <c r="AF135" s="11"/>
    </row>
    <row r="136" spans="6:32" x14ac:dyDescent="0.35">
      <c r="F136" s="9">
        <v>11</v>
      </c>
      <c r="G136" t="s">
        <v>82</v>
      </c>
      <c r="H136">
        <v>1</v>
      </c>
      <c r="I136">
        <v>13.8</v>
      </c>
      <c r="J136">
        <v>1.0563499999999999</v>
      </c>
      <c r="K136">
        <v>14.577999999999999</v>
      </c>
      <c r="L136">
        <v>-35.64</v>
      </c>
      <c r="O136">
        <v>3.5</v>
      </c>
      <c r="P136">
        <v>1.8</v>
      </c>
      <c r="Q136">
        <v>0</v>
      </c>
      <c r="R136">
        <v>0</v>
      </c>
      <c r="T136">
        <v>0</v>
      </c>
      <c r="U136">
        <v>0</v>
      </c>
      <c r="V136">
        <v>1</v>
      </c>
      <c r="W136">
        <v>1</v>
      </c>
      <c r="Y136">
        <v>11</v>
      </c>
      <c r="Z136" t="s">
        <v>82</v>
      </c>
      <c r="AA136">
        <v>1</v>
      </c>
      <c r="AB136" t="s">
        <v>11</v>
      </c>
      <c r="AC136">
        <v>0</v>
      </c>
      <c r="AD136">
        <v>0</v>
      </c>
      <c r="AE136">
        <v>0</v>
      </c>
      <c r="AF136" s="11"/>
    </row>
    <row r="137" spans="6:32" x14ac:dyDescent="0.35">
      <c r="F137" s="9">
        <v>12</v>
      </c>
      <c r="G137" t="s">
        <v>76</v>
      </c>
      <c r="H137">
        <v>1</v>
      </c>
      <c r="I137">
        <v>13.8</v>
      </c>
      <c r="J137">
        <v>1.0550600000000001</v>
      </c>
      <c r="K137">
        <v>14.56</v>
      </c>
      <c r="L137">
        <v>-35.979999999999997</v>
      </c>
      <c r="O137">
        <v>6.1</v>
      </c>
      <c r="P137">
        <v>1.6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</v>
      </c>
      <c r="Y137">
        <v>12</v>
      </c>
      <c r="Z137" t="s">
        <v>76</v>
      </c>
      <c r="AA137">
        <v>1</v>
      </c>
      <c r="AB137" t="s">
        <v>11</v>
      </c>
      <c r="AC137">
        <v>0</v>
      </c>
      <c r="AD137">
        <v>0</v>
      </c>
      <c r="AE137">
        <v>0</v>
      </c>
      <c r="AF137" s="11"/>
    </row>
    <row r="138" spans="6:32" x14ac:dyDescent="0.35">
      <c r="F138" s="9">
        <v>13</v>
      </c>
      <c r="G138" t="s">
        <v>78</v>
      </c>
      <c r="H138">
        <v>1</v>
      </c>
      <c r="I138">
        <v>13.8</v>
      </c>
      <c r="J138">
        <v>1.0502</v>
      </c>
      <c r="K138">
        <v>14.493</v>
      </c>
      <c r="L138">
        <v>-36.049999999999997</v>
      </c>
      <c r="O138">
        <v>13.5</v>
      </c>
      <c r="P138">
        <v>5.8</v>
      </c>
      <c r="Q138">
        <v>0</v>
      </c>
      <c r="R138">
        <v>0</v>
      </c>
      <c r="T138">
        <v>0</v>
      </c>
      <c r="U138">
        <v>0</v>
      </c>
      <c r="V138">
        <v>1</v>
      </c>
      <c r="W138">
        <v>1</v>
      </c>
      <c r="Y138">
        <v>13</v>
      </c>
      <c r="Z138" t="s">
        <v>78</v>
      </c>
      <c r="AA138">
        <v>1</v>
      </c>
      <c r="AB138" t="s">
        <v>11</v>
      </c>
      <c r="AC138">
        <v>0</v>
      </c>
      <c r="AD138">
        <v>0</v>
      </c>
      <c r="AE138">
        <v>0</v>
      </c>
      <c r="AF138" s="11"/>
    </row>
    <row r="139" spans="6:32" x14ac:dyDescent="0.35">
      <c r="F139" s="9">
        <v>14</v>
      </c>
      <c r="G139" t="s">
        <v>81</v>
      </c>
      <c r="H139">
        <v>1</v>
      </c>
      <c r="I139">
        <v>13.8</v>
      </c>
      <c r="J139">
        <v>1.0346500000000001</v>
      </c>
      <c r="K139">
        <v>14.278</v>
      </c>
      <c r="L139">
        <v>-36.86</v>
      </c>
      <c r="O139">
        <v>14.9</v>
      </c>
      <c r="P139">
        <v>5</v>
      </c>
      <c r="Q139">
        <v>0</v>
      </c>
      <c r="R139">
        <v>0</v>
      </c>
      <c r="T139">
        <v>0</v>
      </c>
      <c r="U139">
        <v>0</v>
      </c>
      <c r="V139">
        <v>1</v>
      </c>
      <c r="W139">
        <v>1</v>
      </c>
      <c r="Y139">
        <v>14</v>
      </c>
      <c r="Z139" t="s">
        <v>81</v>
      </c>
      <c r="AA139">
        <v>1</v>
      </c>
      <c r="AB139" t="s">
        <v>11</v>
      </c>
      <c r="AC139">
        <v>0</v>
      </c>
      <c r="AD139">
        <v>0</v>
      </c>
      <c r="AE139">
        <v>0</v>
      </c>
      <c r="AF139" s="11"/>
    </row>
    <row r="140" spans="6:32" ht="15" thickBot="1" x14ac:dyDescent="0.4">
      <c r="F140" s="12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4"/>
    </row>
    <row r="146" spans="11:21" x14ac:dyDescent="0.35">
      <c r="K146" t="s">
        <v>112</v>
      </c>
      <c r="N146" t="s">
        <v>113</v>
      </c>
      <c r="Q146" t="s">
        <v>114</v>
      </c>
      <c r="T146" t="s">
        <v>115</v>
      </c>
    </row>
    <row r="147" spans="11:21" x14ac:dyDescent="0.35">
      <c r="K147" t="s">
        <v>94</v>
      </c>
      <c r="L147" t="s">
        <v>86</v>
      </c>
      <c r="N147" t="s">
        <v>85</v>
      </c>
      <c r="O147" t="s">
        <v>86</v>
      </c>
      <c r="Q147" t="s">
        <v>94</v>
      </c>
      <c r="R147" t="s">
        <v>86</v>
      </c>
      <c r="T147" t="s">
        <v>94</v>
      </c>
      <c r="U147" t="s">
        <v>86</v>
      </c>
    </row>
    <row r="148" spans="11:21" x14ac:dyDescent="0.35">
      <c r="K148">
        <v>73.14</v>
      </c>
      <c r="L148">
        <v>-20.69</v>
      </c>
      <c r="N148">
        <v>69</v>
      </c>
      <c r="O148">
        <v>-20.69</v>
      </c>
      <c r="Q148">
        <v>73.14</v>
      </c>
      <c r="R148">
        <v>-20.69</v>
      </c>
      <c r="T148">
        <v>73.14</v>
      </c>
      <c r="U148">
        <v>-20.69</v>
      </c>
    </row>
    <row r="149" spans="11:21" x14ac:dyDescent="0.35">
      <c r="K149">
        <v>72.105000000000004</v>
      </c>
      <c r="L149">
        <v>-23.87</v>
      </c>
      <c r="N149">
        <v>69</v>
      </c>
      <c r="O149">
        <v>-24.06</v>
      </c>
      <c r="Q149">
        <v>72.105000000000004</v>
      </c>
      <c r="R149">
        <v>-23.81</v>
      </c>
      <c r="T149">
        <v>72.105000000000004</v>
      </c>
      <c r="U149">
        <v>-23.87</v>
      </c>
    </row>
    <row r="150" spans="11:21" x14ac:dyDescent="0.35">
      <c r="K150">
        <v>70.210999999999999</v>
      </c>
      <c r="L150">
        <v>-27.47</v>
      </c>
      <c r="N150">
        <v>69</v>
      </c>
      <c r="O150">
        <v>-28.07</v>
      </c>
      <c r="Q150">
        <v>69.69</v>
      </c>
      <c r="R150">
        <v>-27.37</v>
      </c>
      <c r="T150">
        <v>70.210999999999999</v>
      </c>
      <c r="U150">
        <v>-27.47</v>
      </c>
    </row>
    <row r="151" spans="11:21" x14ac:dyDescent="0.35">
      <c r="K151">
        <v>71.272999999999996</v>
      </c>
      <c r="L151">
        <v>-28.42</v>
      </c>
      <c r="N151">
        <v>69</v>
      </c>
      <c r="O151">
        <v>-28.68</v>
      </c>
      <c r="Q151">
        <v>71.186000000000007</v>
      </c>
      <c r="R151">
        <v>-28.27</v>
      </c>
      <c r="T151">
        <v>71.272999999999996</v>
      </c>
      <c r="U151">
        <v>-28.42</v>
      </c>
    </row>
    <row r="152" spans="11:21" x14ac:dyDescent="0.35">
      <c r="K152">
        <v>71.596000000000004</v>
      </c>
      <c r="L152">
        <v>-27.47</v>
      </c>
      <c r="N152">
        <v>69</v>
      </c>
      <c r="O152">
        <v>-27.68</v>
      </c>
      <c r="Q152">
        <v>71.554000000000002</v>
      </c>
      <c r="R152">
        <v>-27.34</v>
      </c>
      <c r="T152">
        <v>71.596000000000004</v>
      </c>
      <c r="U152">
        <v>-27.47</v>
      </c>
    </row>
    <row r="153" spans="11:21" x14ac:dyDescent="0.35">
      <c r="K153">
        <v>14.766</v>
      </c>
      <c r="L153">
        <v>-35.130000000000003</v>
      </c>
      <c r="N153">
        <v>13.8</v>
      </c>
      <c r="O153">
        <v>-35.770000000000003</v>
      </c>
      <c r="Q153">
        <v>14.766</v>
      </c>
      <c r="R153">
        <v>-34.85</v>
      </c>
      <c r="T153">
        <v>14.766</v>
      </c>
      <c r="U153">
        <v>-35.130000000000003</v>
      </c>
    </row>
    <row r="154" spans="11:21" x14ac:dyDescent="0.35">
      <c r="K154">
        <v>14.673</v>
      </c>
      <c r="L154">
        <v>-34.590000000000003</v>
      </c>
      <c r="N154">
        <v>13.8</v>
      </c>
      <c r="O154">
        <v>-35.19</v>
      </c>
      <c r="Q154">
        <v>14.664</v>
      </c>
      <c r="R154">
        <v>-34.31</v>
      </c>
      <c r="T154">
        <v>14.673</v>
      </c>
      <c r="U154">
        <v>-34.590000000000003</v>
      </c>
    </row>
    <row r="155" spans="11:21" x14ac:dyDescent="0.35">
      <c r="K155">
        <v>19.62</v>
      </c>
      <c r="L155">
        <v>-34.590000000000003</v>
      </c>
      <c r="N155">
        <v>18</v>
      </c>
      <c r="O155">
        <v>-35.19</v>
      </c>
      <c r="Q155">
        <v>19.62</v>
      </c>
      <c r="R155">
        <v>-34.31</v>
      </c>
      <c r="T155">
        <v>19.62</v>
      </c>
      <c r="U155">
        <v>-34.590000000000003</v>
      </c>
    </row>
    <row r="156" spans="11:21" x14ac:dyDescent="0.35">
      <c r="K156">
        <v>14.553000000000001</v>
      </c>
      <c r="L156">
        <v>-35.71</v>
      </c>
      <c r="N156">
        <v>13.8</v>
      </c>
      <c r="O156">
        <v>-36.51</v>
      </c>
      <c r="Q156">
        <v>14.542</v>
      </c>
      <c r="R156">
        <v>-35.409999999999997</v>
      </c>
      <c r="T156">
        <v>14.553000000000001</v>
      </c>
      <c r="U156">
        <v>-35.71</v>
      </c>
    </row>
    <row r="157" spans="11:21" x14ac:dyDescent="0.35">
      <c r="K157">
        <v>14.488</v>
      </c>
      <c r="L157">
        <v>-35.89</v>
      </c>
      <c r="N157">
        <v>13.8</v>
      </c>
      <c r="O157">
        <v>-36.81</v>
      </c>
      <c r="Q157">
        <v>14.478999999999999</v>
      </c>
      <c r="R157">
        <v>-35.590000000000003</v>
      </c>
      <c r="T157">
        <v>14.488</v>
      </c>
      <c r="U157">
        <v>-35.89</v>
      </c>
    </row>
    <row r="158" spans="11:21" x14ac:dyDescent="0.35">
      <c r="K158">
        <v>14.577999999999999</v>
      </c>
      <c r="L158">
        <v>-35.64</v>
      </c>
      <c r="N158">
        <v>13.8</v>
      </c>
      <c r="O158">
        <v>-36.49</v>
      </c>
      <c r="Q158">
        <v>14.573</v>
      </c>
      <c r="R158">
        <v>-35.35</v>
      </c>
      <c r="T158">
        <v>14.577999999999999</v>
      </c>
      <c r="U158">
        <v>-35.64</v>
      </c>
    </row>
    <row r="159" spans="11:21" x14ac:dyDescent="0.35">
      <c r="K159">
        <v>14.56</v>
      </c>
      <c r="L159">
        <v>-35.979999999999997</v>
      </c>
      <c r="N159">
        <v>13.8</v>
      </c>
      <c r="O159">
        <v>-36.880000000000003</v>
      </c>
      <c r="Q159">
        <v>14.558</v>
      </c>
      <c r="R159">
        <v>-35.68</v>
      </c>
      <c r="T159">
        <v>14.56</v>
      </c>
      <c r="U159">
        <v>-35.979999999999997</v>
      </c>
    </row>
    <row r="160" spans="11:21" x14ac:dyDescent="0.35">
      <c r="K160">
        <v>14.493</v>
      </c>
      <c r="L160">
        <v>-36.049999999999997</v>
      </c>
      <c r="N160">
        <v>13.8</v>
      </c>
      <c r="O160">
        <v>-37.04</v>
      </c>
      <c r="Q160">
        <v>14.491</v>
      </c>
      <c r="R160">
        <v>-35.75</v>
      </c>
      <c r="T160">
        <v>14.493</v>
      </c>
      <c r="U160">
        <v>-36.049999999999997</v>
      </c>
    </row>
    <row r="161" spans="11:21" ht="15" thickBot="1" x14ac:dyDescent="0.4">
      <c r="K161" s="13">
        <v>14.278</v>
      </c>
      <c r="L161" s="13">
        <v>-36.86</v>
      </c>
      <c r="N161">
        <v>13.8</v>
      </c>
      <c r="O161">
        <v>-38.04</v>
      </c>
      <c r="Q161" s="13">
        <v>14.271000000000001</v>
      </c>
      <c r="R161" s="13">
        <v>-36.56</v>
      </c>
      <c r="T161">
        <v>14.278</v>
      </c>
      <c r="U161">
        <v>-36.86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Bus</vt:lpstr>
      <vt:lpstr>Generators</vt:lpstr>
      <vt:lpstr>Branches</vt:lpstr>
      <vt:lpstr>Shunt capacitors</vt:lpstr>
      <vt:lpstr>PF results (NR)</vt:lpstr>
      <vt:lpstr>Sensitività</vt:lpstr>
      <vt:lpstr>Capacitors</vt:lpstr>
      <vt:lpstr>Iterazioni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Riccardo Nebuloni</dc:creator>
  <cp:lastModifiedBy>Edoardo Broetto</cp:lastModifiedBy>
  <dcterms:created xsi:type="dcterms:W3CDTF">2015-06-05T18:19:34Z</dcterms:created>
  <dcterms:modified xsi:type="dcterms:W3CDTF">2025-11-16T22:50:41Z</dcterms:modified>
</cp:coreProperties>
</file>