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doar\Desktop\UNI\A.A. 2025-2026\ELECTRIC POWER SYSTEM\progetto\ProgettoEPS1\"/>
    </mc:Choice>
  </mc:AlternateContent>
  <xr:revisionPtr revIDLastSave="0" documentId="13_ncr:1_{8AB9A709-A8D3-4598-8930-331A59048B26}" xr6:coauthVersionLast="47" xr6:coauthVersionMax="47" xr10:uidLastSave="{00000000-0000-0000-0000-000000000000}"/>
  <bookViews>
    <workbookView xWindow="-110" yWindow="-110" windowWidth="19420" windowHeight="11500" activeTab="7" xr2:uid="{00000000-000D-0000-FFFF-FFFF00000000}"/>
  </bookViews>
  <sheets>
    <sheet name="Bus" sheetId="1" r:id="rId1"/>
    <sheet name="Generators" sheetId="2" r:id="rId2"/>
    <sheet name="Branches" sheetId="3" r:id="rId3"/>
    <sheet name="Shunt capacitors" sheetId="4" r:id="rId4"/>
    <sheet name="PF results (NR)" sheetId="5" r:id="rId5"/>
    <sheet name="Sensitività" sheetId="6" r:id="rId6"/>
    <sheet name="Capacitors" sheetId="7" r:id="rId7"/>
    <sheet name="Iterazion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H12" i="7"/>
  <c r="G12" i="7"/>
  <c r="H10" i="7"/>
  <c r="G8" i="7"/>
  <c r="G9" i="7"/>
  <c r="G10" i="7"/>
  <c r="G11" i="7"/>
  <c r="G7" i="7"/>
  <c r="C24" i="6"/>
  <c r="C25" i="6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23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7" i="6"/>
</calcChain>
</file>

<file path=xl/sharedStrings.xml><?xml version="1.0" encoding="utf-8"?>
<sst xmlns="http://schemas.openxmlformats.org/spreadsheetml/2006/main" count="591" uniqueCount="112">
  <si>
    <t>Node</t>
  </si>
  <si>
    <t>Type</t>
  </si>
  <si>
    <t>P_load [MW]</t>
  </si>
  <si>
    <t>Q_load [Mvar]</t>
  </si>
  <si>
    <t>V [pu]</t>
  </si>
  <si>
    <t>Vn [kV]</t>
  </si>
  <si>
    <t>Vmin [pu]</t>
  </si>
  <si>
    <t>Vmax [pu]</t>
  </si>
  <si>
    <t>Bus</t>
  </si>
  <si>
    <t>PV</t>
  </si>
  <si>
    <t>SLACK</t>
  </si>
  <si>
    <t>PQ</t>
  </si>
  <si>
    <t>Generator</t>
  </si>
  <si>
    <t>Pgen [MW]</t>
  </si>
  <si>
    <t>***</t>
  </si>
  <si>
    <t>Pmin [MW]</t>
  </si>
  <si>
    <t>Pmax [MW]</t>
  </si>
  <si>
    <t>From_node</t>
  </si>
  <si>
    <t>To_node</t>
  </si>
  <si>
    <t>R [pu]</t>
  </si>
  <si>
    <t>X [pu]</t>
  </si>
  <si>
    <t>B [pu]</t>
  </si>
  <si>
    <t>G [pu]</t>
  </si>
  <si>
    <t>Thermal limit [MVA]</t>
  </si>
  <si>
    <t>Phase shifter angle [deg]</t>
  </si>
  <si>
    <t>Transformer</t>
  </si>
  <si>
    <t>Line</t>
  </si>
  <si>
    <t>Type of controller</t>
  </si>
  <si>
    <t>PS</t>
  </si>
  <si>
    <t>AVR</t>
  </si>
  <si>
    <t>-</t>
  </si>
  <si>
    <t>Nominal Mvar [Mvar]</t>
  </si>
  <si>
    <t>Status</t>
  </si>
  <si>
    <t>OFF</t>
  </si>
  <si>
    <t>angle [deg]</t>
  </si>
  <si>
    <t>Off-nominal Tap Ratio [pu]</t>
  </si>
  <si>
    <r>
      <t>α [€/MW</t>
    </r>
    <r>
      <rPr>
        <b/>
        <vertAlign val="super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>]</t>
    </r>
  </si>
  <si>
    <t>β [€/MW]</t>
  </si>
  <si>
    <t>γ [€]</t>
  </si>
  <si>
    <t>Qmin [Mvar]</t>
  </si>
  <si>
    <t>Qmax [Mvar]</t>
  </si>
  <si>
    <t>Step</t>
  </si>
  <si>
    <t>Step min</t>
  </si>
  <si>
    <t>Step max</t>
  </si>
  <si>
    <t>From</t>
  </si>
  <si>
    <t>4_7</t>
  </si>
  <si>
    <t>4_9</t>
  </si>
  <si>
    <t>5_6</t>
  </si>
  <si>
    <t>To</t>
  </si>
  <si>
    <t>2_3</t>
  </si>
  <si>
    <t>Angles</t>
  </si>
  <si>
    <t>losses</t>
  </si>
  <si>
    <t>c 1</t>
  </si>
  <si>
    <t>c closed</t>
  </si>
  <si>
    <t>c2</t>
  </si>
  <si>
    <t>c3</t>
  </si>
  <si>
    <t>bus</t>
  </si>
  <si>
    <t>c1 c3</t>
  </si>
  <si>
    <t>c2 c1</t>
  </si>
  <si>
    <t>teniamo chiuso il 9 pk è lunico che diminuisce</t>
  </si>
  <si>
    <t>c2 c3</t>
  </si>
  <si>
    <t>delta</t>
  </si>
  <si>
    <t>somma δ</t>
  </si>
  <si>
    <t>valore iniziale</t>
  </si>
  <si>
    <t>Number</t>
  </si>
  <si>
    <t>Name</t>
  </si>
  <si>
    <t>Area Name</t>
  </si>
  <si>
    <t>Mismatch MW</t>
  </si>
  <si>
    <t>Mismatch Mvar</t>
  </si>
  <si>
    <t>Mismatch MVA</t>
  </si>
  <si>
    <t>bus 4</t>
  </si>
  <si>
    <t>bus 6</t>
  </si>
  <si>
    <t>bus 9</t>
  </si>
  <si>
    <t>bus 7</t>
  </si>
  <si>
    <t>bus 2</t>
  </si>
  <si>
    <t>bus 10</t>
  </si>
  <si>
    <t>bus 12</t>
  </si>
  <si>
    <t>3 bus</t>
  </si>
  <si>
    <t>bus 13</t>
  </si>
  <si>
    <t>bus 5</t>
  </si>
  <si>
    <t>bus 8</t>
  </si>
  <si>
    <t>bus 14</t>
  </si>
  <si>
    <t>bus 11</t>
  </si>
  <si>
    <t>1 (slack)</t>
  </si>
  <si>
    <t>Slack</t>
  </si>
  <si>
    <t>Nom kV</t>
  </si>
  <si>
    <t>Angle (Deg)</t>
  </si>
  <si>
    <t>Gen MW</t>
  </si>
  <si>
    <t>Load MW</t>
  </si>
  <si>
    <t>Dist MW</t>
  </si>
  <si>
    <t>Act G Shunt MW</t>
  </si>
  <si>
    <t>Area Num</t>
  </si>
  <si>
    <t>Zone Num</t>
  </si>
  <si>
    <t>PU Volt</t>
  </si>
  <si>
    <t>Volt (kV)</t>
  </si>
  <si>
    <t>Gen Mvar</t>
  </si>
  <si>
    <t>Load Mvar</t>
  </si>
  <si>
    <t>Dist Mvar</t>
  </si>
  <si>
    <t>Switched Shunts Mvar</t>
  </si>
  <si>
    <t>Act B Shunt Mvar</t>
  </si>
  <si>
    <t>PQ (Gens at Var Limit)</t>
  </si>
  <si>
    <t>NR_1_voltage limit</t>
  </si>
  <si>
    <t>NR_50 voltage limit</t>
  </si>
  <si>
    <t xml:space="preserve">DC voltage limit </t>
  </si>
  <si>
    <t>GS_1 voltage limit</t>
  </si>
  <si>
    <t>GS_50 voltage limit</t>
  </si>
  <si>
    <t>NO CONVERGENZA</t>
  </si>
  <si>
    <t xml:space="preserve">FD_1 voltage limit </t>
  </si>
  <si>
    <t xml:space="preserve">NO CONVERGENZA </t>
  </si>
  <si>
    <t>FD_50 voltage limit</t>
  </si>
  <si>
    <t>NON converge</t>
  </si>
  <si>
    <t>no convergenza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</si>
</sst>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4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4_7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1617235345581804E-2"/>
                  <c:y val="-4.29790026246719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(Sensitività!$C$22:$C$36,Sensitività!$C$6:$C$21)</c:f>
              <c:numCache>
                <c:formatCode>General</c:formatCode>
                <c:ptCount val="31"/>
                <c:pt idx="0">
                  <c:v>-2</c:v>
                </c:pt>
                <c:pt idx="1">
                  <c:v>-4</c:v>
                </c:pt>
                <c:pt idx="2">
                  <c:v>-6</c:v>
                </c:pt>
                <c:pt idx="3">
                  <c:v>-8</c:v>
                </c:pt>
                <c:pt idx="4">
                  <c:v>-10</c:v>
                </c:pt>
                <c:pt idx="5">
                  <c:v>-12</c:v>
                </c:pt>
                <c:pt idx="6">
                  <c:v>-14</c:v>
                </c:pt>
                <c:pt idx="7">
                  <c:v>-16</c:v>
                </c:pt>
                <c:pt idx="8">
                  <c:v>-18</c:v>
                </c:pt>
                <c:pt idx="9">
                  <c:v>-20</c:v>
                </c:pt>
                <c:pt idx="10">
                  <c:v>-22</c:v>
                </c:pt>
                <c:pt idx="11">
                  <c:v>-24</c:v>
                </c:pt>
                <c:pt idx="12">
                  <c:v>-26</c:v>
                </c:pt>
                <c:pt idx="13">
                  <c:v>-28</c:v>
                </c:pt>
                <c:pt idx="14">
                  <c:v>-30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numCache>
            </c:numRef>
          </c:xVal>
          <c:yVal>
            <c:numRef>
              <c:f>(Sensitività!$D$22:$D$36,Sensitività!$D$6:$D$21)</c:f>
              <c:numCache>
                <c:formatCode>General</c:formatCode>
                <c:ptCount val="31"/>
                <c:pt idx="0">
                  <c:v>72.8</c:v>
                </c:pt>
                <c:pt idx="1">
                  <c:v>73</c:v>
                </c:pt>
                <c:pt idx="2">
                  <c:v>73.099999999999994</c:v>
                </c:pt>
                <c:pt idx="3">
                  <c:v>73.3</c:v>
                </c:pt>
                <c:pt idx="4">
                  <c:v>73.5</c:v>
                </c:pt>
                <c:pt idx="5">
                  <c:v>73.7</c:v>
                </c:pt>
                <c:pt idx="6">
                  <c:v>73.900000000000006</c:v>
                </c:pt>
                <c:pt idx="7">
                  <c:v>74.2</c:v>
                </c:pt>
                <c:pt idx="8">
                  <c:v>74.400000000000006</c:v>
                </c:pt>
                <c:pt idx="9">
                  <c:v>74.7</c:v>
                </c:pt>
                <c:pt idx="10">
                  <c:v>75</c:v>
                </c:pt>
                <c:pt idx="11">
                  <c:v>75.3</c:v>
                </c:pt>
                <c:pt idx="12">
                  <c:v>75.599999999999994</c:v>
                </c:pt>
                <c:pt idx="13">
                  <c:v>76</c:v>
                </c:pt>
                <c:pt idx="14">
                  <c:v>76.3</c:v>
                </c:pt>
                <c:pt idx="15">
                  <c:v>72.599999999999994</c:v>
                </c:pt>
                <c:pt idx="16">
                  <c:v>72.5</c:v>
                </c:pt>
                <c:pt idx="17">
                  <c:v>72.400000000000006</c:v>
                </c:pt>
                <c:pt idx="18">
                  <c:v>72.2</c:v>
                </c:pt>
                <c:pt idx="19">
                  <c:v>72.099999999999994</c:v>
                </c:pt>
                <c:pt idx="20">
                  <c:v>72</c:v>
                </c:pt>
                <c:pt idx="21">
                  <c:v>71.900000000000006</c:v>
                </c:pt>
                <c:pt idx="22">
                  <c:v>71.8</c:v>
                </c:pt>
                <c:pt idx="23">
                  <c:v>71.7</c:v>
                </c:pt>
                <c:pt idx="24">
                  <c:v>71.7</c:v>
                </c:pt>
                <c:pt idx="25">
                  <c:v>71.599999999999994</c:v>
                </c:pt>
                <c:pt idx="26">
                  <c:v>71.599999999999994</c:v>
                </c:pt>
                <c:pt idx="27">
                  <c:v>71.599999999999994</c:v>
                </c:pt>
                <c:pt idx="28">
                  <c:v>71.7</c:v>
                </c:pt>
                <c:pt idx="29">
                  <c:v>71.7</c:v>
                </c:pt>
                <c:pt idx="30">
                  <c:v>71.8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0-40E8-9943-69C1AD907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77999"/>
        <c:axId val="685677039"/>
      </c:scatterChart>
      <c:valAx>
        <c:axId val="68567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5677039"/>
        <c:crosses val="autoZero"/>
        <c:crossBetween val="midCat"/>
      </c:valAx>
      <c:valAx>
        <c:axId val="6856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567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4_9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(Sensitività!$C$22:$C$36,Sensitività!$C$6:$C$21)</c:f>
              <c:numCache>
                <c:formatCode>General</c:formatCode>
                <c:ptCount val="31"/>
                <c:pt idx="0">
                  <c:v>-2</c:v>
                </c:pt>
                <c:pt idx="1">
                  <c:v>-4</c:v>
                </c:pt>
                <c:pt idx="2">
                  <c:v>-6</c:v>
                </c:pt>
                <c:pt idx="3">
                  <c:v>-8</c:v>
                </c:pt>
                <c:pt idx="4">
                  <c:v>-10</c:v>
                </c:pt>
                <c:pt idx="5">
                  <c:v>-12</c:v>
                </c:pt>
                <c:pt idx="6">
                  <c:v>-14</c:v>
                </c:pt>
                <c:pt idx="7">
                  <c:v>-16</c:v>
                </c:pt>
                <c:pt idx="8">
                  <c:v>-18</c:v>
                </c:pt>
                <c:pt idx="9">
                  <c:v>-20</c:v>
                </c:pt>
                <c:pt idx="10">
                  <c:v>-22</c:v>
                </c:pt>
                <c:pt idx="11">
                  <c:v>-24</c:v>
                </c:pt>
                <c:pt idx="12">
                  <c:v>-26</c:v>
                </c:pt>
                <c:pt idx="13">
                  <c:v>-28</c:v>
                </c:pt>
                <c:pt idx="14">
                  <c:v>-30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numCache>
            </c:numRef>
          </c:xVal>
          <c:yVal>
            <c:numRef>
              <c:f>(Sensitività!$E$22:$E$36,Sensitività!$E$6:$E$21)</c:f>
              <c:numCache>
                <c:formatCode>General</c:formatCode>
                <c:ptCount val="31"/>
                <c:pt idx="0">
                  <c:v>72.7</c:v>
                </c:pt>
                <c:pt idx="1">
                  <c:v>72.8</c:v>
                </c:pt>
                <c:pt idx="2">
                  <c:v>72.900000000000006</c:v>
                </c:pt>
                <c:pt idx="3">
                  <c:v>73</c:v>
                </c:pt>
                <c:pt idx="4">
                  <c:v>73.099999999999994</c:v>
                </c:pt>
                <c:pt idx="5">
                  <c:v>73.2</c:v>
                </c:pt>
                <c:pt idx="6">
                  <c:v>73.400000000000006</c:v>
                </c:pt>
                <c:pt idx="7">
                  <c:v>73.5</c:v>
                </c:pt>
                <c:pt idx="8">
                  <c:v>73.599999999999994</c:v>
                </c:pt>
                <c:pt idx="9">
                  <c:v>73.8</c:v>
                </c:pt>
                <c:pt idx="10">
                  <c:v>74</c:v>
                </c:pt>
                <c:pt idx="11">
                  <c:v>74.2</c:v>
                </c:pt>
                <c:pt idx="12">
                  <c:v>74.400000000000006</c:v>
                </c:pt>
                <c:pt idx="13">
                  <c:v>74.599999999999994</c:v>
                </c:pt>
                <c:pt idx="14">
                  <c:v>74.8</c:v>
                </c:pt>
                <c:pt idx="15">
                  <c:v>72.599999999999994</c:v>
                </c:pt>
                <c:pt idx="16">
                  <c:v>72.599999999999994</c:v>
                </c:pt>
                <c:pt idx="17">
                  <c:v>72.5</c:v>
                </c:pt>
                <c:pt idx="18">
                  <c:v>72.400000000000006</c:v>
                </c:pt>
                <c:pt idx="19">
                  <c:v>72.3</c:v>
                </c:pt>
                <c:pt idx="20">
                  <c:v>72.3</c:v>
                </c:pt>
                <c:pt idx="21">
                  <c:v>72.2</c:v>
                </c:pt>
                <c:pt idx="22">
                  <c:v>72.2</c:v>
                </c:pt>
                <c:pt idx="23">
                  <c:v>72.099999999999994</c:v>
                </c:pt>
                <c:pt idx="24">
                  <c:v>72.099999999999994</c:v>
                </c:pt>
                <c:pt idx="25">
                  <c:v>72.099999999999994</c:v>
                </c:pt>
                <c:pt idx="26">
                  <c:v>72.099999999999994</c:v>
                </c:pt>
                <c:pt idx="27">
                  <c:v>72.099999999999994</c:v>
                </c:pt>
                <c:pt idx="28">
                  <c:v>72.099999999999994</c:v>
                </c:pt>
                <c:pt idx="29">
                  <c:v>72.2</c:v>
                </c:pt>
                <c:pt idx="30">
                  <c:v>72.2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A-4E21-B1D6-E4C4CB062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422655"/>
        <c:axId val="682424095"/>
      </c:scatterChart>
      <c:valAx>
        <c:axId val="68242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2424095"/>
        <c:crosses val="autoZero"/>
        <c:crossBetween val="midCat"/>
      </c:valAx>
      <c:valAx>
        <c:axId val="68242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242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5_6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(Sensitività!$C$22:$C$36,Sensitività!$C$6:$C$21)</c:f>
              <c:numCache>
                <c:formatCode>General</c:formatCode>
                <c:ptCount val="31"/>
                <c:pt idx="0">
                  <c:v>-2</c:v>
                </c:pt>
                <c:pt idx="1">
                  <c:v>-4</c:v>
                </c:pt>
                <c:pt idx="2">
                  <c:v>-6</c:v>
                </c:pt>
                <c:pt idx="3">
                  <c:v>-8</c:v>
                </c:pt>
                <c:pt idx="4">
                  <c:v>-10</c:v>
                </c:pt>
                <c:pt idx="5">
                  <c:v>-12</c:v>
                </c:pt>
                <c:pt idx="6">
                  <c:v>-14</c:v>
                </c:pt>
                <c:pt idx="7">
                  <c:v>-16</c:v>
                </c:pt>
                <c:pt idx="8">
                  <c:v>-18</c:v>
                </c:pt>
                <c:pt idx="9">
                  <c:v>-20</c:v>
                </c:pt>
                <c:pt idx="10">
                  <c:v>-22</c:v>
                </c:pt>
                <c:pt idx="11">
                  <c:v>-24</c:v>
                </c:pt>
                <c:pt idx="12">
                  <c:v>-26</c:v>
                </c:pt>
                <c:pt idx="13">
                  <c:v>-28</c:v>
                </c:pt>
                <c:pt idx="14">
                  <c:v>-30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numCache>
            </c:numRef>
          </c:xVal>
          <c:yVal>
            <c:numRef>
              <c:f>(Sensitività!$F$22:$F$36,Sensitività!$F$6:$F$21)</c:f>
              <c:numCache>
                <c:formatCode>General</c:formatCode>
                <c:ptCount val="31"/>
                <c:pt idx="0">
                  <c:v>72.400000000000006</c:v>
                </c:pt>
                <c:pt idx="1">
                  <c:v>72.2</c:v>
                </c:pt>
                <c:pt idx="2">
                  <c:v>72</c:v>
                </c:pt>
                <c:pt idx="3">
                  <c:v>71.8</c:v>
                </c:pt>
                <c:pt idx="4">
                  <c:v>71.599999999999994</c:v>
                </c:pt>
                <c:pt idx="5">
                  <c:v>71.400000000000006</c:v>
                </c:pt>
                <c:pt idx="6">
                  <c:v>71.3</c:v>
                </c:pt>
                <c:pt idx="7">
                  <c:v>71.2</c:v>
                </c:pt>
                <c:pt idx="8">
                  <c:v>71</c:v>
                </c:pt>
                <c:pt idx="9">
                  <c:v>70.900000000000006</c:v>
                </c:pt>
                <c:pt idx="10">
                  <c:v>70.8</c:v>
                </c:pt>
                <c:pt idx="11">
                  <c:v>70.8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72.599999999999994</c:v>
                </c:pt>
                <c:pt idx="16">
                  <c:v>72.900000000000006</c:v>
                </c:pt>
                <c:pt idx="17">
                  <c:v>73.099999999999994</c:v>
                </c:pt>
                <c:pt idx="18">
                  <c:v>73.400000000000006</c:v>
                </c:pt>
                <c:pt idx="19">
                  <c:v>73.7</c:v>
                </c:pt>
                <c:pt idx="20">
                  <c:v>74</c:v>
                </c:pt>
                <c:pt idx="21">
                  <c:v>74.3</c:v>
                </c:pt>
                <c:pt idx="22">
                  <c:v>74.599999999999994</c:v>
                </c:pt>
                <c:pt idx="23">
                  <c:v>75</c:v>
                </c:pt>
                <c:pt idx="24">
                  <c:v>75.400000000000006</c:v>
                </c:pt>
                <c:pt idx="25">
                  <c:v>75.8</c:v>
                </c:pt>
                <c:pt idx="26">
                  <c:v>76.2</c:v>
                </c:pt>
                <c:pt idx="27">
                  <c:v>76.599999999999994</c:v>
                </c:pt>
                <c:pt idx="28">
                  <c:v>77</c:v>
                </c:pt>
                <c:pt idx="29">
                  <c:v>77.5</c:v>
                </c:pt>
                <c:pt idx="30">
                  <c:v>77.900000000000006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F-47D2-A473-E0CD735EB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859167"/>
        <c:axId val="805860607"/>
      </c:scatterChart>
      <c:valAx>
        <c:axId val="80585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05860607"/>
        <c:crosses val="autoZero"/>
        <c:crossBetween val="midCat"/>
      </c:valAx>
      <c:valAx>
        <c:axId val="8058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0585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</xdr:colOff>
      <xdr:row>3</xdr:row>
      <xdr:rowOff>82550</xdr:rowOff>
    </xdr:from>
    <xdr:to>
      <xdr:col>14</xdr:col>
      <xdr:colOff>384175</xdr:colOff>
      <xdr:row>18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DB819B-B6BA-3D03-1E92-86715B18F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98425</xdr:colOff>
      <xdr:row>19</xdr:row>
      <xdr:rowOff>50800</xdr:rowOff>
    </xdr:from>
    <xdr:to>
      <xdr:col>14</xdr:col>
      <xdr:colOff>403225</xdr:colOff>
      <xdr:row>34</xdr:row>
      <xdr:rowOff>31750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DC929FB-B0F4-16EB-B04A-06337E8FA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555625</xdr:colOff>
      <xdr:row>3</xdr:row>
      <xdr:rowOff>69850</xdr:rowOff>
    </xdr:from>
    <xdr:to>
      <xdr:col>22</xdr:col>
      <xdr:colOff>250825</xdr:colOff>
      <xdr:row>18</xdr:row>
      <xdr:rowOff>50800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B3993F3-DF9B-F48C-FECB-1191E59F7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F31" sqref="F31"/>
    </sheetView>
  </sheetViews>
  <sheetFormatPr defaultRowHeight="14.5" x14ac:dyDescent="0.35"/>
  <cols>
    <col min="3" max="3" width="12.453125" bestFit="1" customWidth="1"/>
    <col min="4" max="4" width="13.81640625" bestFit="1" customWidth="1"/>
    <col min="5" max="5" width="7.54296875" bestFit="1" customWidth="1"/>
    <col min="6" max="6" width="9.81640625" bestFit="1" customWidth="1"/>
    <col min="7" max="7" width="10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5">
      <c r="A2">
        <v>1</v>
      </c>
      <c r="B2" t="s">
        <v>10</v>
      </c>
      <c r="C2">
        <v>0</v>
      </c>
      <c r="D2">
        <v>0</v>
      </c>
      <c r="E2">
        <v>69</v>
      </c>
      <c r="F2">
        <v>0.94</v>
      </c>
      <c r="G2">
        <v>1.06</v>
      </c>
    </row>
    <row r="3" spans="1:7" x14ac:dyDescent="0.35">
      <c r="A3">
        <v>2</v>
      </c>
      <c r="B3" t="s">
        <v>9</v>
      </c>
      <c r="C3">
        <v>21.6999999999999</v>
      </c>
      <c r="D3">
        <v>12.6999999999999</v>
      </c>
      <c r="E3">
        <v>69</v>
      </c>
      <c r="F3">
        <v>0.94</v>
      </c>
      <c r="G3">
        <v>1.06</v>
      </c>
    </row>
    <row r="4" spans="1:7" x14ac:dyDescent="0.35">
      <c r="A4">
        <v>3</v>
      </c>
      <c r="B4" t="s">
        <v>9</v>
      </c>
      <c r="C4">
        <v>94.2</v>
      </c>
      <c r="D4">
        <v>19</v>
      </c>
      <c r="E4">
        <v>69</v>
      </c>
      <c r="F4">
        <v>0.94</v>
      </c>
      <c r="G4">
        <v>1.06</v>
      </c>
    </row>
    <row r="5" spans="1:7" x14ac:dyDescent="0.35">
      <c r="A5">
        <v>4</v>
      </c>
      <c r="B5" t="s">
        <v>11</v>
      </c>
      <c r="C5">
        <v>47.799999999999898</v>
      </c>
      <c r="D5">
        <v>-3.9</v>
      </c>
      <c r="E5">
        <v>69</v>
      </c>
      <c r="F5">
        <v>0.94</v>
      </c>
      <c r="G5">
        <v>1.06</v>
      </c>
    </row>
    <row r="6" spans="1:7" x14ac:dyDescent="0.35">
      <c r="A6">
        <v>5</v>
      </c>
      <c r="B6" t="s">
        <v>11</v>
      </c>
      <c r="C6">
        <v>7.6</v>
      </c>
      <c r="D6">
        <v>1.6</v>
      </c>
      <c r="E6">
        <v>69</v>
      </c>
      <c r="F6">
        <v>0.94</v>
      </c>
      <c r="G6">
        <v>1.06</v>
      </c>
    </row>
    <row r="7" spans="1:7" x14ac:dyDescent="0.35">
      <c r="A7">
        <v>6</v>
      </c>
      <c r="B7" t="s">
        <v>9</v>
      </c>
      <c r="C7">
        <v>11.1999999999999</v>
      </c>
      <c r="D7">
        <v>7.5</v>
      </c>
      <c r="E7">
        <v>13.8</v>
      </c>
      <c r="F7">
        <v>0.94</v>
      </c>
      <c r="G7">
        <v>1.06</v>
      </c>
    </row>
    <row r="8" spans="1:7" x14ac:dyDescent="0.35">
      <c r="A8">
        <v>7</v>
      </c>
      <c r="B8" t="s">
        <v>11</v>
      </c>
      <c r="C8">
        <v>0</v>
      </c>
      <c r="D8">
        <v>0</v>
      </c>
      <c r="E8">
        <v>13.8</v>
      </c>
      <c r="F8">
        <v>0.94</v>
      </c>
      <c r="G8">
        <v>1.06</v>
      </c>
    </row>
    <row r="9" spans="1:7" x14ac:dyDescent="0.35">
      <c r="A9">
        <v>8</v>
      </c>
      <c r="B9" t="s">
        <v>9</v>
      </c>
      <c r="C9">
        <v>0</v>
      </c>
      <c r="D9">
        <v>0</v>
      </c>
      <c r="E9">
        <v>18</v>
      </c>
      <c r="F9">
        <v>0.94</v>
      </c>
      <c r="G9">
        <v>1.06</v>
      </c>
    </row>
    <row r="10" spans="1:7" x14ac:dyDescent="0.35">
      <c r="A10">
        <v>9</v>
      </c>
      <c r="B10" t="s">
        <v>11</v>
      </c>
      <c r="C10">
        <v>29.5</v>
      </c>
      <c r="D10">
        <v>16.600000000000001</v>
      </c>
      <c r="E10">
        <v>13.8</v>
      </c>
      <c r="F10">
        <v>0.94</v>
      </c>
      <c r="G10">
        <v>1.06</v>
      </c>
    </row>
    <row r="11" spans="1:7" x14ac:dyDescent="0.35">
      <c r="A11">
        <v>10</v>
      </c>
      <c r="B11" t="s">
        <v>11</v>
      </c>
      <c r="C11">
        <v>9</v>
      </c>
      <c r="D11">
        <v>5.8</v>
      </c>
      <c r="E11">
        <v>13.8</v>
      </c>
      <c r="F11">
        <v>0.94</v>
      </c>
      <c r="G11">
        <v>1.06</v>
      </c>
    </row>
    <row r="12" spans="1:7" x14ac:dyDescent="0.35">
      <c r="A12">
        <v>11</v>
      </c>
      <c r="B12" t="s">
        <v>11</v>
      </c>
      <c r="C12">
        <v>3.5</v>
      </c>
      <c r="D12">
        <v>1.8</v>
      </c>
      <c r="E12">
        <v>13.8</v>
      </c>
      <c r="F12">
        <v>0.94</v>
      </c>
      <c r="G12">
        <v>1.06</v>
      </c>
    </row>
    <row r="13" spans="1:7" x14ac:dyDescent="0.35">
      <c r="A13">
        <v>12</v>
      </c>
      <c r="B13" t="s">
        <v>11</v>
      </c>
      <c r="C13">
        <v>6.1</v>
      </c>
      <c r="D13">
        <v>1.6</v>
      </c>
      <c r="E13">
        <v>13.8</v>
      </c>
      <c r="F13">
        <v>0.94</v>
      </c>
      <c r="G13">
        <v>1.06</v>
      </c>
    </row>
    <row r="14" spans="1:7" x14ac:dyDescent="0.35">
      <c r="A14">
        <v>13</v>
      </c>
      <c r="B14" t="s">
        <v>11</v>
      </c>
      <c r="C14">
        <v>13.5</v>
      </c>
      <c r="D14">
        <v>5.8</v>
      </c>
      <c r="E14">
        <v>13.8</v>
      </c>
      <c r="F14">
        <v>0.94</v>
      </c>
      <c r="G14">
        <v>1.06</v>
      </c>
    </row>
    <row r="15" spans="1:7" x14ac:dyDescent="0.35">
      <c r="A15">
        <v>14</v>
      </c>
      <c r="B15" t="s">
        <v>11</v>
      </c>
      <c r="C15">
        <v>14.9</v>
      </c>
      <c r="D15">
        <v>5</v>
      </c>
      <c r="E15">
        <v>13.8</v>
      </c>
      <c r="F15">
        <v>0.94</v>
      </c>
      <c r="G15">
        <v>1.06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6BB5-5AB4-404D-AE6A-7AC1635BC45D}">
  <dimension ref="A1:K6"/>
  <sheetViews>
    <sheetView workbookViewId="0">
      <selection activeCell="C9" sqref="C9"/>
    </sheetView>
  </sheetViews>
  <sheetFormatPr defaultRowHeight="14.5" x14ac:dyDescent="0.35"/>
  <cols>
    <col min="1" max="1" width="10" bestFit="1" customWidth="1"/>
    <col min="3" max="3" width="10.81640625" bestFit="1" customWidth="1"/>
    <col min="5" max="5" width="11.1796875" bestFit="1" customWidth="1"/>
    <col min="6" max="6" width="11.54296875" bestFit="1" customWidth="1"/>
    <col min="7" max="7" width="12.1796875" bestFit="1" customWidth="1"/>
    <col min="8" max="8" width="12.54296875" bestFit="1" customWidth="1"/>
    <col min="9" max="9" width="9.81640625" bestFit="1" customWidth="1"/>
  </cols>
  <sheetData>
    <row r="1" spans="1:11" ht="16.5" x14ac:dyDescent="0.35">
      <c r="A1" s="1" t="s">
        <v>12</v>
      </c>
      <c r="B1" s="1" t="s">
        <v>8</v>
      </c>
      <c r="C1" s="1" t="s">
        <v>13</v>
      </c>
      <c r="D1" s="1" t="s">
        <v>4</v>
      </c>
      <c r="E1" s="1" t="s">
        <v>15</v>
      </c>
      <c r="F1" s="1" t="s">
        <v>16</v>
      </c>
      <c r="G1" s="1" t="s">
        <v>39</v>
      </c>
      <c r="H1" s="1" t="s">
        <v>40</v>
      </c>
      <c r="I1" s="2" t="s">
        <v>36</v>
      </c>
      <c r="J1" s="2" t="s">
        <v>37</v>
      </c>
      <c r="K1" s="2" t="s">
        <v>38</v>
      </c>
    </row>
    <row r="2" spans="1:11" x14ac:dyDescent="0.35">
      <c r="A2">
        <v>1</v>
      </c>
      <c r="B2">
        <v>1</v>
      </c>
      <c r="C2" t="s">
        <v>14</v>
      </c>
      <c r="D2">
        <v>1.06</v>
      </c>
      <c r="E2">
        <v>-10000</v>
      </c>
      <c r="F2">
        <v>10000</v>
      </c>
      <c r="G2">
        <v>-10000</v>
      </c>
      <c r="H2">
        <v>10000</v>
      </c>
      <c r="I2" t="s">
        <v>30</v>
      </c>
      <c r="J2" t="s">
        <v>30</v>
      </c>
      <c r="K2" t="s">
        <v>30</v>
      </c>
    </row>
    <row r="3" spans="1:11" x14ac:dyDescent="0.35">
      <c r="A3">
        <v>2</v>
      </c>
      <c r="B3">
        <v>2</v>
      </c>
      <c r="C3">
        <v>40</v>
      </c>
      <c r="D3">
        <v>1.0449999999999999</v>
      </c>
      <c r="E3">
        <v>40</v>
      </c>
      <c r="F3">
        <v>40</v>
      </c>
      <c r="G3">
        <v>-40</v>
      </c>
      <c r="H3">
        <v>50</v>
      </c>
      <c r="I3" t="s">
        <v>30</v>
      </c>
      <c r="J3" t="s">
        <v>30</v>
      </c>
      <c r="K3" t="s">
        <v>30</v>
      </c>
    </row>
    <row r="4" spans="1:11" x14ac:dyDescent="0.35">
      <c r="A4">
        <v>3</v>
      </c>
      <c r="B4">
        <v>3</v>
      </c>
      <c r="C4">
        <v>0</v>
      </c>
      <c r="D4">
        <v>1.01</v>
      </c>
      <c r="E4">
        <v>0</v>
      </c>
      <c r="F4">
        <v>100</v>
      </c>
      <c r="G4">
        <v>0</v>
      </c>
      <c r="H4">
        <v>40</v>
      </c>
      <c r="I4">
        <v>5.0000000000000001E-3</v>
      </c>
      <c r="J4">
        <v>2.4500000000000002</v>
      </c>
      <c r="K4">
        <v>105</v>
      </c>
    </row>
    <row r="5" spans="1:11" x14ac:dyDescent="0.35">
      <c r="A5">
        <v>4</v>
      </c>
      <c r="B5">
        <v>6</v>
      </c>
      <c r="C5">
        <v>0</v>
      </c>
      <c r="D5">
        <v>1.07</v>
      </c>
      <c r="E5">
        <v>0</v>
      </c>
      <c r="F5">
        <v>100</v>
      </c>
      <c r="G5">
        <v>-6</v>
      </c>
      <c r="H5">
        <v>55</v>
      </c>
      <c r="I5">
        <v>5.0000000000000001E-3</v>
      </c>
      <c r="J5">
        <v>3.51</v>
      </c>
      <c r="K5">
        <v>44.1</v>
      </c>
    </row>
    <row r="6" spans="1:11" x14ac:dyDescent="0.35">
      <c r="A6">
        <v>5</v>
      </c>
      <c r="B6">
        <v>8</v>
      </c>
      <c r="C6">
        <v>0</v>
      </c>
      <c r="D6">
        <v>1.0900000000000001</v>
      </c>
      <c r="E6">
        <v>0</v>
      </c>
      <c r="F6">
        <v>100</v>
      </c>
      <c r="G6">
        <v>-6</v>
      </c>
      <c r="H6">
        <v>30</v>
      </c>
      <c r="I6">
        <v>5.0000000000000001E-3</v>
      </c>
      <c r="J6">
        <v>3.89</v>
      </c>
      <c r="K6">
        <v>40.6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FA2B-04AF-4B9C-9194-CAAD402285D2}">
  <dimension ref="A1:N21"/>
  <sheetViews>
    <sheetView workbookViewId="0">
      <selection activeCell="L15" sqref="L15"/>
    </sheetView>
  </sheetViews>
  <sheetFormatPr defaultRowHeight="14.5" x14ac:dyDescent="0.35"/>
  <cols>
    <col min="1" max="1" width="11.1796875" bestFit="1" customWidth="1"/>
    <col min="7" max="7" width="19.1796875" bestFit="1" customWidth="1"/>
    <col min="8" max="8" width="19.1796875" customWidth="1"/>
    <col min="9" max="9" width="25" bestFit="1" customWidth="1"/>
    <col min="10" max="10" width="23.453125" bestFit="1" customWidth="1"/>
    <col min="11" max="11" width="16.81640625" bestFit="1" customWidth="1"/>
  </cols>
  <sheetData>
    <row r="1" spans="1:14" s="1" customFormat="1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1</v>
      </c>
      <c r="I1" s="1" t="s">
        <v>35</v>
      </c>
      <c r="J1" s="1" t="s">
        <v>24</v>
      </c>
      <c r="K1" s="1" t="s">
        <v>27</v>
      </c>
      <c r="L1" s="1" t="s">
        <v>41</v>
      </c>
      <c r="M1" s="1" t="s">
        <v>42</v>
      </c>
      <c r="N1" s="1" t="s">
        <v>43</v>
      </c>
    </row>
    <row r="2" spans="1:14" x14ac:dyDescent="0.35">
      <c r="A2">
        <v>1</v>
      </c>
      <c r="B2">
        <v>2</v>
      </c>
      <c r="C2">
        <v>1.9380000000000001E-2</v>
      </c>
      <c r="D2">
        <v>5.917E-2</v>
      </c>
      <c r="E2">
        <v>5.28E-2</v>
      </c>
      <c r="F2">
        <v>0</v>
      </c>
      <c r="G2">
        <v>120</v>
      </c>
      <c r="H2" t="s">
        <v>26</v>
      </c>
      <c r="I2">
        <v>0</v>
      </c>
      <c r="J2">
        <v>0</v>
      </c>
      <c r="L2">
        <v>0</v>
      </c>
      <c r="M2">
        <v>0</v>
      </c>
      <c r="N2">
        <v>0</v>
      </c>
    </row>
    <row r="3" spans="1:14" x14ac:dyDescent="0.35">
      <c r="A3">
        <v>1</v>
      </c>
      <c r="B3">
        <v>5</v>
      </c>
      <c r="C3">
        <v>5.4030000000000002E-2</v>
      </c>
      <c r="D3">
        <v>0.22303999999999999</v>
      </c>
      <c r="E3">
        <v>4.9200000000000001E-2</v>
      </c>
      <c r="F3">
        <v>0</v>
      </c>
      <c r="G3">
        <v>65</v>
      </c>
      <c r="H3" t="s">
        <v>26</v>
      </c>
      <c r="I3">
        <v>0</v>
      </c>
      <c r="J3">
        <v>0</v>
      </c>
      <c r="L3">
        <v>0</v>
      </c>
      <c r="M3">
        <v>0</v>
      </c>
      <c r="N3">
        <v>0</v>
      </c>
    </row>
    <row r="4" spans="1:14" x14ac:dyDescent="0.35">
      <c r="A4">
        <v>2</v>
      </c>
      <c r="B4">
        <v>3</v>
      </c>
      <c r="C4">
        <v>4.6989999999999997E-2</v>
      </c>
      <c r="D4">
        <v>0.19797000000000001</v>
      </c>
      <c r="E4">
        <v>4.3799999999999999E-2</v>
      </c>
      <c r="F4">
        <v>0</v>
      </c>
      <c r="G4">
        <v>36</v>
      </c>
      <c r="H4" t="s">
        <v>26</v>
      </c>
      <c r="I4">
        <v>0</v>
      </c>
      <c r="J4">
        <v>0</v>
      </c>
      <c r="L4">
        <v>0</v>
      </c>
      <c r="M4">
        <v>0</v>
      </c>
      <c r="N4">
        <v>0</v>
      </c>
    </row>
    <row r="5" spans="1:14" x14ac:dyDescent="0.35">
      <c r="A5">
        <v>2</v>
      </c>
      <c r="B5">
        <v>4</v>
      </c>
      <c r="C5">
        <v>5.8110000000000002E-2</v>
      </c>
      <c r="D5">
        <v>0.17632</v>
      </c>
      <c r="E5">
        <v>3.4000000000000002E-2</v>
      </c>
      <c r="F5">
        <v>0</v>
      </c>
      <c r="G5">
        <v>65</v>
      </c>
      <c r="H5" t="s">
        <v>26</v>
      </c>
      <c r="I5">
        <v>0</v>
      </c>
      <c r="J5">
        <v>0</v>
      </c>
      <c r="L5">
        <v>0</v>
      </c>
      <c r="M5">
        <v>0</v>
      </c>
      <c r="N5">
        <v>0</v>
      </c>
    </row>
    <row r="6" spans="1:14" x14ac:dyDescent="0.35">
      <c r="A6">
        <v>2</v>
      </c>
      <c r="B6">
        <v>5</v>
      </c>
      <c r="C6">
        <v>5.6950000000000001E-2</v>
      </c>
      <c r="D6">
        <v>0.17388000000000001</v>
      </c>
      <c r="E6">
        <v>3.4599999999999999E-2</v>
      </c>
      <c r="F6">
        <v>0</v>
      </c>
      <c r="G6">
        <v>50</v>
      </c>
      <c r="H6" t="s">
        <v>26</v>
      </c>
      <c r="I6">
        <v>0</v>
      </c>
      <c r="J6">
        <v>0</v>
      </c>
      <c r="L6">
        <v>0</v>
      </c>
      <c r="M6">
        <v>0</v>
      </c>
      <c r="N6">
        <v>0</v>
      </c>
    </row>
    <row r="7" spans="1:14" x14ac:dyDescent="0.35">
      <c r="A7">
        <v>3</v>
      </c>
      <c r="B7">
        <v>4</v>
      </c>
      <c r="C7">
        <v>6.701E-2</v>
      </c>
      <c r="D7">
        <v>0.17102999999999999</v>
      </c>
      <c r="E7">
        <v>1.2800000000000001E-2</v>
      </c>
      <c r="F7">
        <v>0</v>
      </c>
      <c r="G7">
        <v>65</v>
      </c>
      <c r="H7" t="s">
        <v>26</v>
      </c>
      <c r="I7">
        <v>0</v>
      </c>
      <c r="J7">
        <v>0</v>
      </c>
      <c r="L7">
        <v>0</v>
      </c>
      <c r="M7">
        <v>0</v>
      </c>
      <c r="N7">
        <v>0</v>
      </c>
    </row>
    <row r="8" spans="1:14" x14ac:dyDescent="0.35">
      <c r="A8">
        <v>4</v>
      </c>
      <c r="B8">
        <v>5</v>
      </c>
      <c r="C8">
        <v>1.3350000000000001E-2</v>
      </c>
      <c r="D8">
        <v>4.2110000000000002E-2</v>
      </c>
      <c r="E8">
        <v>0</v>
      </c>
      <c r="F8">
        <v>0</v>
      </c>
      <c r="G8">
        <v>45</v>
      </c>
      <c r="H8" t="s">
        <v>26</v>
      </c>
      <c r="I8">
        <v>0</v>
      </c>
      <c r="J8">
        <v>0</v>
      </c>
      <c r="L8">
        <v>0</v>
      </c>
      <c r="M8">
        <v>0</v>
      </c>
      <c r="N8">
        <v>0</v>
      </c>
    </row>
    <row r="9" spans="1:14" x14ac:dyDescent="0.35">
      <c r="A9">
        <v>4</v>
      </c>
      <c r="B9">
        <v>7</v>
      </c>
      <c r="C9">
        <v>0</v>
      </c>
      <c r="D9">
        <v>0.20912</v>
      </c>
      <c r="E9">
        <v>0</v>
      </c>
      <c r="F9">
        <v>0</v>
      </c>
      <c r="G9">
        <v>55</v>
      </c>
      <c r="H9" t="s">
        <v>25</v>
      </c>
      <c r="I9">
        <v>1</v>
      </c>
      <c r="J9">
        <v>0</v>
      </c>
      <c r="K9" t="s">
        <v>28</v>
      </c>
      <c r="L9">
        <v>2</v>
      </c>
      <c r="M9">
        <v>-30</v>
      </c>
      <c r="N9">
        <v>30</v>
      </c>
    </row>
    <row r="10" spans="1:14" x14ac:dyDescent="0.35">
      <c r="A10">
        <v>4</v>
      </c>
      <c r="B10">
        <v>9</v>
      </c>
      <c r="C10">
        <v>0</v>
      </c>
      <c r="D10">
        <v>0.55618000000000001</v>
      </c>
      <c r="E10">
        <v>0</v>
      </c>
      <c r="F10">
        <v>0</v>
      </c>
      <c r="G10">
        <v>32</v>
      </c>
      <c r="H10" t="s">
        <v>25</v>
      </c>
      <c r="I10">
        <v>1</v>
      </c>
      <c r="J10">
        <v>0</v>
      </c>
      <c r="K10" t="s">
        <v>28</v>
      </c>
      <c r="L10">
        <v>2</v>
      </c>
      <c r="M10">
        <v>-30</v>
      </c>
      <c r="N10">
        <v>30</v>
      </c>
    </row>
    <row r="11" spans="1:14" x14ac:dyDescent="0.35">
      <c r="A11">
        <v>5</v>
      </c>
      <c r="B11">
        <v>6</v>
      </c>
      <c r="C11">
        <v>0</v>
      </c>
      <c r="D11">
        <v>0.25202000000000002</v>
      </c>
      <c r="E11">
        <v>0</v>
      </c>
      <c r="F11">
        <v>0</v>
      </c>
      <c r="G11">
        <v>45</v>
      </c>
      <c r="H11" t="s">
        <v>25</v>
      </c>
      <c r="I11">
        <v>1</v>
      </c>
      <c r="J11">
        <v>0</v>
      </c>
      <c r="K11" t="s">
        <v>28</v>
      </c>
      <c r="L11">
        <v>2</v>
      </c>
      <c r="M11">
        <v>-30</v>
      </c>
      <c r="N11">
        <v>30</v>
      </c>
    </row>
    <row r="12" spans="1:14" x14ac:dyDescent="0.35">
      <c r="A12">
        <v>6</v>
      </c>
      <c r="B12">
        <v>11</v>
      </c>
      <c r="C12">
        <v>9.4979999999999995E-2</v>
      </c>
      <c r="D12">
        <v>0.19889999999999999</v>
      </c>
      <c r="E12">
        <v>0</v>
      </c>
      <c r="F12">
        <v>0</v>
      </c>
      <c r="G12">
        <v>18</v>
      </c>
      <c r="H12" t="s">
        <v>26</v>
      </c>
      <c r="I12">
        <v>0</v>
      </c>
      <c r="J12">
        <v>0</v>
      </c>
      <c r="L12">
        <v>0</v>
      </c>
      <c r="M12">
        <v>0</v>
      </c>
      <c r="N12">
        <v>0</v>
      </c>
    </row>
    <row r="13" spans="1:14" x14ac:dyDescent="0.35">
      <c r="A13">
        <v>6</v>
      </c>
      <c r="B13">
        <v>12</v>
      </c>
      <c r="C13">
        <v>0.12291000000000001</v>
      </c>
      <c r="D13">
        <v>0.25580999999999998</v>
      </c>
      <c r="E13">
        <v>0</v>
      </c>
      <c r="F13">
        <v>0</v>
      </c>
      <c r="G13">
        <v>32</v>
      </c>
      <c r="H13" t="s">
        <v>26</v>
      </c>
      <c r="I13">
        <v>0</v>
      </c>
      <c r="J13">
        <v>0</v>
      </c>
      <c r="L13">
        <v>0</v>
      </c>
      <c r="M13">
        <v>0</v>
      </c>
      <c r="N13">
        <v>0</v>
      </c>
    </row>
    <row r="14" spans="1:14" x14ac:dyDescent="0.35">
      <c r="A14">
        <v>6</v>
      </c>
      <c r="B14">
        <v>13</v>
      </c>
      <c r="C14">
        <v>6.615E-2</v>
      </c>
      <c r="D14">
        <v>0.13027</v>
      </c>
      <c r="E14">
        <v>0</v>
      </c>
      <c r="F14">
        <v>0</v>
      </c>
      <c r="G14">
        <v>32</v>
      </c>
      <c r="H14" t="s">
        <v>26</v>
      </c>
      <c r="I14">
        <v>0</v>
      </c>
      <c r="J14">
        <v>0</v>
      </c>
      <c r="L14">
        <v>0</v>
      </c>
      <c r="M14">
        <v>0</v>
      </c>
      <c r="N14">
        <v>0</v>
      </c>
    </row>
    <row r="15" spans="1:14" x14ac:dyDescent="0.35">
      <c r="A15">
        <v>7</v>
      </c>
      <c r="B15">
        <v>8</v>
      </c>
      <c r="C15">
        <v>0</v>
      </c>
      <c r="D15">
        <v>0.17615</v>
      </c>
      <c r="E15">
        <v>0</v>
      </c>
      <c r="F15">
        <v>0</v>
      </c>
      <c r="G15">
        <v>32</v>
      </c>
      <c r="H15" t="s">
        <v>25</v>
      </c>
      <c r="I15">
        <v>1</v>
      </c>
      <c r="J15">
        <v>0</v>
      </c>
      <c r="K15" t="s">
        <v>29</v>
      </c>
      <c r="L15">
        <v>1.2500000000000001E-2</v>
      </c>
      <c r="M15">
        <v>0.9</v>
      </c>
      <c r="N15">
        <v>1.1000000000000001</v>
      </c>
    </row>
    <row r="16" spans="1:14" x14ac:dyDescent="0.35">
      <c r="A16">
        <v>7</v>
      </c>
      <c r="B16">
        <v>9</v>
      </c>
      <c r="C16">
        <v>0</v>
      </c>
      <c r="D16">
        <v>0.11001</v>
      </c>
      <c r="E16">
        <v>0</v>
      </c>
      <c r="F16">
        <v>0</v>
      </c>
      <c r="G16">
        <v>32</v>
      </c>
      <c r="H16" t="s">
        <v>26</v>
      </c>
      <c r="I16">
        <v>0</v>
      </c>
      <c r="J16">
        <v>0</v>
      </c>
      <c r="L16">
        <v>0</v>
      </c>
      <c r="M16">
        <v>0</v>
      </c>
      <c r="N16">
        <v>0</v>
      </c>
    </row>
    <row r="17" spans="1:14" x14ac:dyDescent="0.35">
      <c r="A17">
        <v>9</v>
      </c>
      <c r="B17">
        <v>10</v>
      </c>
      <c r="C17">
        <v>3.1809999999999998E-2</v>
      </c>
      <c r="D17">
        <v>8.4500000000000006E-2</v>
      </c>
      <c r="E17">
        <v>0</v>
      </c>
      <c r="F17">
        <v>0</v>
      </c>
      <c r="G17">
        <v>32</v>
      </c>
      <c r="H17" t="s">
        <v>26</v>
      </c>
      <c r="I17">
        <v>0</v>
      </c>
      <c r="J17">
        <v>0</v>
      </c>
      <c r="L17">
        <v>0</v>
      </c>
      <c r="M17">
        <v>0</v>
      </c>
      <c r="N17">
        <v>0</v>
      </c>
    </row>
    <row r="18" spans="1:14" x14ac:dyDescent="0.35">
      <c r="A18">
        <v>9</v>
      </c>
      <c r="B18">
        <v>14</v>
      </c>
      <c r="C18">
        <v>0.12711</v>
      </c>
      <c r="D18">
        <v>0.27038000000000001</v>
      </c>
      <c r="E18">
        <v>0</v>
      </c>
      <c r="F18">
        <v>0</v>
      </c>
      <c r="G18">
        <v>32</v>
      </c>
      <c r="H18" t="s">
        <v>26</v>
      </c>
      <c r="I18">
        <v>0</v>
      </c>
      <c r="J18">
        <v>0</v>
      </c>
      <c r="L18">
        <v>0</v>
      </c>
      <c r="M18">
        <v>0</v>
      </c>
      <c r="N18">
        <v>0</v>
      </c>
    </row>
    <row r="19" spans="1:14" x14ac:dyDescent="0.35">
      <c r="A19">
        <v>10</v>
      </c>
      <c r="B19">
        <v>11</v>
      </c>
      <c r="C19">
        <v>8.2049999999999998E-2</v>
      </c>
      <c r="D19">
        <v>0.19206999999999999</v>
      </c>
      <c r="E19">
        <v>0</v>
      </c>
      <c r="F19">
        <v>0</v>
      </c>
      <c r="G19">
        <v>12</v>
      </c>
      <c r="H19" t="s">
        <v>26</v>
      </c>
      <c r="I19">
        <v>0</v>
      </c>
      <c r="J19">
        <v>0</v>
      </c>
      <c r="L19">
        <v>0</v>
      </c>
      <c r="M19">
        <v>0</v>
      </c>
      <c r="N19">
        <v>0</v>
      </c>
    </row>
    <row r="20" spans="1:14" x14ac:dyDescent="0.35">
      <c r="A20">
        <v>12</v>
      </c>
      <c r="B20">
        <v>13</v>
      </c>
      <c r="C20">
        <v>0.22092000000000001</v>
      </c>
      <c r="D20">
        <v>0.19988</v>
      </c>
      <c r="E20">
        <v>0</v>
      </c>
      <c r="F20">
        <v>0</v>
      </c>
      <c r="G20">
        <v>12</v>
      </c>
      <c r="H20" t="s">
        <v>26</v>
      </c>
      <c r="I20">
        <v>0</v>
      </c>
      <c r="J20">
        <v>0</v>
      </c>
      <c r="L20">
        <v>0</v>
      </c>
      <c r="M20">
        <v>0</v>
      </c>
      <c r="N20">
        <v>0</v>
      </c>
    </row>
    <row r="21" spans="1:14" x14ac:dyDescent="0.35">
      <c r="A21">
        <v>13</v>
      </c>
      <c r="B21">
        <v>14</v>
      </c>
      <c r="C21">
        <v>0.17093</v>
      </c>
      <c r="D21">
        <v>0.34802</v>
      </c>
      <c r="E21">
        <v>0</v>
      </c>
      <c r="F21">
        <v>0</v>
      </c>
      <c r="G21">
        <v>12</v>
      </c>
      <c r="H21" t="s">
        <v>26</v>
      </c>
      <c r="I21">
        <v>0</v>
      </c>
      <c r="J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447A-3CEF-4785-861F-3FE0AC3012C3}">
  <dimension ref="A1:C4"/>
  <sheetViews>
    <sheetView workbookViewId="0">
      <selection activeCell="C11" sqref="C11"/>
    </sheetView>
  </sheetViews>
  <sheetFormatPr defaultRowHeight="14.5" x14ac:dyDescent="0.35"/>
  <cols>
    <col min="2" max="2" width="20.1796875" bestFit="1" customWidth="1"/>
  </cols>
  <sheetData>
    <row r="1" spans="1:3" s="1" customFormat="1" x14ac:dyDescent="0.35">
      <c r="A1" s="1" t="s">
        <v>8</v>
      </c>
      <c r="B1" s="1" t="s">
        <v>31</v>
      </c>
      <c r="C1" s="1" t="s">
        <v>32</v>
      </c>
    </row>
    <row r="2" spans="1:3" x14ac:dyDescent="0.35">
      <c r="A2">
        <v>4</v>
      </c>
      <c r="B2">
        <v>19</v>
      </c>
      <c r="C2" t="s">
        <v>33</v>
      </c>
    </row>
    <row r="3" spans="1:3" x14ac:dyDescent="0.35">
      <c r="A3">
        <v>9</v>
      </c>
      <c r="B3">
        <v>19</v>
      </c>
      <c r="C3" t="s">
        <v>33</v>
      </c>
    </row>
    <row r="4" spans="1:3" x14ac:dyDescent="0.35">
      <c r="A4">
        <v>12</v>
      </c>
      <c r="B4">
        <v>19</v>
      </c>
      <c r="C4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FFAD-586E-4B45-A6F7-7B8C372B2BDA}">
  <dimension ref="A1:C15"/>
  <sheetViews>
    <sheetView workbookViewId="0">
      <selection activeCell="H20" sqref="H20"/>
    </sheetView>
  </sheetViews>
  <sheetFormatPr defaultRowHeight="14.5" x14ac:dyDescent="0.35"/>
  <cols>
    <col min="2" max="2" width="12" bestFit="1" customWidth="1"/>
    <col min="3" max="3" width="11" bestFit="1" customWidth="1"/>
    <col min="6" max="6" width="6.81640625" bestFit="1" customWidth="1"/>
  </cols>
  <sheetData>
    <row r="1" spans="1:3" s="1" customFormat="1" x14ac:dyDescent="0.35">
      <c r="A1" s="1" t="s">
        <v>0</v>
      </c>
      <c r="B1" s="1" t="s">
        <v>4</v>
      </c>
      <c r="C1" s="1" t="s">
        <v>34</v>
      </c>
    </row>
    <row r="2" spans="1:3" x14ac:dyDescent="0.35">
      <c r="A2">
        <v>1</v>
      </c>
      <c r="B2">
        <v>1.06</v>
      </c>
      <c r="C2">
        <v>0</v>
      </c>
    </row>
    <row r="3" spans="1:3" x14ac:dyDescent="0.35">
      <c r="A3">
        <v>2</v>
      </c>
      <c r="B3">
        <v>1.0449999999999999</v>
      </c>
      <c r="C3">
        <v>-4.9564700000000004</v>
      </c>
    </row>
    <row r="4" spans="1:3" x14ac:dyDescent="0.35">
      <c r="A4">
        <v>3</v>
      </c>
      <c r="B4">
        <v>1.01</v>
      </c>
      <c r="C4">
        <v>-12.63274</v>
      </c>
    </row>
    <row r="5" spans="1:3" x14ac:dyDescent="0.35">
      <c r="A5">
        <v>4</v>
      </c>
      <c r="B5">
        <v>1.0260899999999999</v>
      </c>
      <c r="C5">
        <v>-10.36585</v>
      </c>
    </row>
    <row r="6" spans="1:3" x14ac:dyDescent="0.35">
      <c r="A6">
        <v>5</v>
      </c>
      <c r="B6">
        <v>1.0326</v>
      </c>
      <c r="C6">
        <v>-8.9466300000000007</v>
      </c>
    </row>
    <row r="7" spans="1:3" x14ac:dyDescent="0.35">
      <c r="A7">
        <v>6</v>
      </c>
      <c r="B7">
        <v>1.07</v>
      </c>
      <c r="C7">
        <v>-14.87918</v>
      </c>
    </row>
    <row r="8" spans="1:3" x14ac:dyDescent="0.35">
      <c r="A8">
        <v>7</v>
      </c>
      <c r="B8">
        <v>1.04481</v>
      </c>
      <c r="C8">
        <v>-13.45011</v>
      </c>
    </row>
    <row r="9" spans="1:3" x14ac:dyDescent="0.35">
      <c r="A9">
        <v>8</v>
      </c>
      <c r="B9">
        <v>1.0900000000000001</v>
      </c>
      <c r="C9">
        <v>-13.450049999999999</v>
      </c>
    </row>
    <row r="10" spans="1:3" x14ac:dyDescent="0.35">
      <c r="A10">
        <v>9</v>
      </c>
      <c r="B10">
        <v>1.02763</v>
      </c>
      <c r="C10">
        <v>-15.06968</v>
      </c>
    </row>
    <row r="11" spans="1:3" x14ac:dyDescent="0.35">
      <c r="A11">
        <v>10</v>
      </c>
      <c r="B11">
        <v>1.0275399999999999</v>
      </c>
      <c r="C11">
        <v>-15.31793</v>
      </c>
    </row>
    <row r="12" spans="1:3" x14ac:dyDescent="0.35">
      <c r="A12">
        <v>11</v>
      </c>
      <c r="B12">
        <v>1.04494</v>
      </c>
      <c r="C12">
        <v>-15.213240000000001</v>
      </c>
    </row>
    <row r="13" spans="1:3" x14ac:dyDescent="0.35">
      <c r="A13">
        <v>12</v>
      </c>
      <c r="B13">
        <v>1.0530200000000001</v>
      </c>
      <c r="C13">
        <v>-15.719469999999999</v>
      </c>
    </row>
    <row r="14" spans="1:3" x14ac:dyDescent="0.35">
      <c r="A14">
        <v>13</v>
      </c>
      <c r="B14">
        <v>1.04623</v>
      </c>
      <c r="C14">
        <v>-15.738060000000001</v>
      </c>
    </row>
    <row r="15" spans="1:3" x14ac:dyDescent="0.35">
      <c r="A15">
        <v>14</v>
      </c>
      <c r="B15">
        <v>1.0174300000000001</v>
      </c>
      <c r="C15">
        <v>-16.39378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2649-79A9-4750-81F8-F6613BFE84EB}">
  <dimension ref="C4:G36"/>
  <sheetViews>
    <sheetView topLeftCell="A4" workbookViewId="0">
      <selection activeCell="P20" sqref="P20"/>
    </sheetView>
  </sheetViews>
  <sheetFormatPr defaultRowHeight="14.5" x14ac:dyDescent="0.35"/>
  <sheetData>
    <row r="4" spans="3:7" x14ac:dyDescent="0.35">
      <c r="C4" t="s">
        <v>50</v>
      </c>
      <c r="D4" t="s">
        <v>44</v>
      </c>
      <c r="G4" t="s">
        <v>48</v>
      </c>
    </row>
    <row r="5" spans="3:7" x14ac:dyDescent="0.35">
      <c r="D5" s="3" t="s">
        <v>45</v>
      </c>
      <c r="E5" s="3" t="s">
        <v>46</v>
      </c>
      <c r="F5" s="3" t="s">
        <v>47</v>
      </c>
      <c r="G5" s="3" t="s">
        <v>49</v>
      </c>
    </row>
    <row r="6" spans="3:7" x14ac:dyDescent="0.35">
      <c r="C6">
        <v>0</v>
      </c>
      <c r="D6">
        <v>72.599999999999994</v>
      </c>
      <c r="E6">
        <v>72.599999999999994</v>
      </c>
      <c r="F6">
        <v>72.599999999999994</v>
      </c>
    </row>
    <row r="7" spans="3:7" x14ac:dyDescent="0.35">
      <c r="C7">
        <f>C6+2</f>
        <v>2</v>
      </c>
      <c r="D7">
        <v>72.5</v>
      </c>
      <c r="E7">
        <v>72.599999999999994</v>
      </c>
      <c r="F7">
        <v>72.900000000000006</v>
      </c>
    </row>
    <row r="8" spans="3:7" x14ac:dyDescent="0.35">
      <c r="C8">
        <f t="shared" ref="C8:C21" si="0">C7+2</f>
        <v>4</v>
      </c>
      <c r="D8">
        <v>72.400000000000006</v>
      </c>
      <c r="E8">
        <v>72.5</v>
      </c>
      <c r="F8">
        <v>73.099999999999994</v>
      </c>
    </row>
    <row r="9" spans="3:7" x14ac:dyDescent="0.35">
      <c r="C9">
        <f t="shared" si="0"/>
        <v>6</v>
      </c>
      <c r="D9">
        <v>72.2</v>
      </c>
      <c r="E9">
        <v>72.400000000000006</v>
      </c>
      <c r="F9">
        <v>73.400000000000006</v>
      </c>
    </row>
    <row r="10" spans="3:7" x14ac:dyDescent="0.35">
      <c r="C10">
        <f t="shared" si="0"/>
        <v>8</v>
      </c>
      <c r="D10">
        <v>72.099999999999994</v>
      </c>
      <c r="E10">
        <v>72.3</v>
      </c>
      <c r="F10">
        <v>73.7</v>
      </c>
    </row>
    <row r="11" spans="3:7" x14ac:dyDescent="0.35">
      <c r="C11">
        <f t="shared" si="0"/>
        <v>10</v>
      </c>
      <c r="D11">
        <v>72</v>
      </c>
      <c r="E11">
        <v>72.3</v>
      </c>
      <c r="F11">
        <v>74</v>
      </c>
    </row>
    <row r="12" spans="3:7" x14ac:dyDescent="0.35">
      <c r="C12">
        <f t="shared" si="0"/>
        <v>12</v>
      </c>
      <c r="D12">
        <v>71.900000000000006</v>
      </c>
      <c r="E12">
        <v>72.2</v>
      </c>
      <c r="F12">
        <v>74.3</v>
      </c>
    </row>
    <row r="13" spans="3:7" x14ac:dyDescent="0.35">
      <c r="C13">
        <f t="shared" si="0"/>
        <v>14</v>
      </c>
      <c r="D13">
        <v>71.8</v>
      </c>
      <c r="E13">
        <v>72.2</v>
      </c>
      <c r="F13">
        <v>74.599999999999994</v>
      </c>
    </row>
    <row r="14" spans="3:7" x14ac:dyDescent="0.35">
      <c r="C14">
        <f t="shared" si="0"/>
        <v>16</v>
      </c>
      <c r="D14">
        <v>71.7</v>
      </c>
      <c r="E14">
        <v>72.099999999999994</v>
      </c>
      <c r="F14">
        <v>75</v>
      </c>
    </row>
    <row r="15" spans="3:7" x14ac:dyDescent="0.35">
      <c r="C15">
        <f t="shared" si="0"/>
        <v>18</v>
      </c>
      <c r="D15">
        <v>71.7</v>
      </c>
      <c r="E15">
        <v>72.099999999999994</v>
      </c>
      <c r="F15">
        <v>75.400000000000006</v>
      </c>
    </row>
    <row r="16" spans="3:7" x14ac:dyDescent="0.35">
      <c r="C16">
        <f t="shared" si="0"/>
        <v>20</v>
      </c>
      <c r="D16">
        <v>71.599999999999994</v>
      </c>
      <c r="E16">
        <v>72.099999999999994</v>
      </c>
      <c r="F16">
        <v>75.8</v>
      </c>
    </row>
    <row r="17" spans="3:6" x14ac:dyDescent="0.35">
      <c r="C17">
        <f t="shared" si="0"/>
        <v>22</v>
      </c>
      <c r="D17">
        <v>71.599999999999994</v>
      </c>
      <c r="E17">
        <v>72.099999999999994</v>
      </c>
      <c r="F17">
        <v>76.2</v>
      </c>
    </row>
    <row r="18" spans="3:6" x14ac:dyDescent="0.35">
      <c r="C18">
        <f t="shared" si="0"/>
        <v>24</v>
      </c>
      <c r="D18">
        <v>71.599999999999994</v>
      </c>
      <c r="E18">
        <v>72.099999999999994</v>
      </c>
      <c r="F18">
        <v>76.599999999999994</v>
      </c>
    </row>
    <row r="19" spans="3:6" x14ac:dyDescent="0.35">
      <c r="C19">
        <f t="shared" si="0"/>
        <v>26</v>
      </c>
      <c r="D19">
        <v>71.7</v>
      </c>
      <c r="E19">
        <v>72.099999999999994</v>
      </c>
      <c r="F19">
        <v>77</v>
      </c>
    </row>
    <row r="20" spans="3:6" x14ac:dyDescent="0.35">
      <c r="C20">
        <f t="shared" si="0"/>
        <v>28</v>
      </c>
      <c r="D20">
        <v>71.7</v>
      </c>
      <c r="E20">
        <v>72.2</v>
      </c>
      <c r="F20">
        <v>77.5</v>
      </c>
    </row>
    <row r="21" spans="3:6" x14ac:dyDescent="0.35">
      <c r="C21">
        <f t="shared" si="0"/>
        <v>30</v>
      </c>
      <c r="D21">
        <v>71.8</v>
      </c>
      <c r="E21">
        <v>72.2</v>
      </c>
      <c r="F21">
        <v>77.900000000000006</v>
      </c>
    </row>
    <row r="22" spans="3:6" x14ac:dyDescent="0.35">
      <c r="C22">
        <v>-2</v>
      </c>
      <c r="D22">
        <v>72.8</v>
      </c>
      <c r="E22">
        <v>72.7</v>
      </c>
      <c r="F22">
        <v>72.400000000000006</v>
      </c>
    </row>
    <row r="23" spans="3:6" x14ac:dyDescent="0.35">
      <c r="C23">
        <f>C22-2</f>
        <v>-4</v>
      </c>
      <c r="D23">
        <v>73</v>
      </c>
      <c r="E23">
        <v>72.8</v>
      </c>
      <c r="F23">
        <v>72.2</v>
      </c>
    </row>
    <row r="24" spans="3:6" x14ac:dyDescent="0.35">
      <c r="C24">
        <f t="shared" ref="C24:C36" si="1">C23-2</f>
        <v>-6</v>
      </c>
      <c r="D24">
        <v>73.099999999999994</v>
      </c>
      <c r="E24">
        <v>72.900000000000006</v>
      </c>
      <c r="F24">
        <v>72</v>
      </c>
    </row>
    <row r="25" spans="3:6" x14ac:dyDescent="0.35">
      <c r="C25">
        <f t="shared" si="1"/>
        <v>-8</v>
      </c>
      <c r="D25">
        <v>73.3</v>
      </c>
      <c r="E25">
        <v>73</v>
      </c>
      <c r="F25">
        <v>71.8</v>
      </c>
    </row>
    <row r="26" spans="3:6" x14ac:dyDescent="0.35">
      <c r="C26">
        <f t="shared" si="1"/>
        <v>-10</v>
      </c>
      <c r="D26">
        <v>73.5</v>
      </c>
      <c r="E26">
        <v>73.099999999999994</v>
      </c>
      <c r="F26">
        <v>71.599999999999994</v>
      </c>
    </row>
    <row r="27" spans="3:6" x14ac:dyDescent="0.35">
      <c r="C27">
        <f t="shared" si="1"/>
        <v>-12</v>
      </c>
      <c r="D27">
        <v>73.7</v>
      </c>
      <c r="E27">
        <v>73.2</v>
      </c>
      <c r="F27">
        <v>71.400000000000006</v>
      </c>
    </row>
    <row r="28" spans="3:6" x14ac:dyDescent="0.35">
      <c r="C28">
        <f t="shared" si="1"/>
        <v>-14</v>
      </c>
      <c r="D28">
        <v>73.900000000000006</v>
      </c>
      <c r="E28">
        <v>73.400000000000006</v>
      </c>
      <c r="F28">
        <v>71.3</v>
      </c>
    </row>
    <row r="29" spans="3:6" x14ac:dyDescent="0.35">
      <c r="C29">
        <f t="shared" si="1"/>
        <v>-16</v>
      </c>
      <c r="D29">
        <v>74.2</v>
      </c>
      <c r="E29">
        <v>73.5</v>
      </c>
      <c r="F29">
        <v>71.2</v>
      </c>
    </row>
    <row r="30" spans="3:6" x14ac:dyDescent="0.35">
      <c r="C30">
        <f t="shared" si="1"/>
        <v>-18</v>
      </c>
      <c r="D30">
        <v>74.400000000000006</v>
      </c>
      <c r="E30">
        <v>73.599999999999994</v>
      </c>
      <c r="F30">
        <v>71</v>
      </c>
    </row>
    <row r="31" spans="3:6" x14ac:dyDescent="0.35">
      <c r="C31">
        <f t="shared" si="1"/>
        <v>-20</v>
      </c>
      <c r="D31">
        <v>74.7</v>
      </c>
      <c r="E31">
        <v>73.8</v>
      </c>
      <c r="F31">
        <v>70.900000000000006</v>
      </c>
    </row>
    <row r="32" spans="3:6" x14ac:dyDescent="0.35">
      <c r="C32">
        <f t="shared" si="1"/>
        <v>-22</v>
      </c>
      <c r="D32">
        <v>75</v>
      </c>
      <c r="E32">
        <v>74</v>
      </c>
      <c r="F32">
        <v>70.8</v>
      </c>
    </row>
    <row r="33" spans="3:6" x14ac:dyDescent="0.35">
      <c r="C33">
        <f t="shared" si="1"/>
        <v>-24</v>
      </c>
      <c r="D33">
        <v>75.3</v>
      </c>
      <c r="E33">
        <v>74.2</v>
      </c>
      <c r="F33">
        <v>70.8</v>
      </c>
    </row>
    <row r="34" spans="3:6" x14ac:dyDescent="0.35">
      <c r="C34">
        <f t="shared" si="1"/>
        <v>-26</v>
      </c>
      <c r="D34">
        <v>75.599999999999994</v>
      </c>
      <c r="E34">
        <v>74.400000000000006</v>
      </c>
      <c r="F34">
        <v>70.8</v>
      </c>
    </row>
    <row r="35" spans="3:6" x14ac:dyDescent="0.35">
      <c r="C35">
        <f t="shared" si="1"/>
        <v>-28</v>
      </c>
      <c r="D35">
        <v>76</v>
      </c>
      <c r="E35">
        <v>74.599999999999994</v>
      </c>
      <c r="F35">
        <v>70.8</v>
      </c>
    </row>
    <row r="36" spans="3:6" x14ac:dyDescent="0.35">
      <c r="C36">
        <f t="shared" si="1"/>
        <v>-30</v>
      </c>
      <c r="D36">
        <v>76.3</v>
      </c>
      <c r="E36">
        <v>74.8</v>
      </c>
      <c r="F36">
        <v>70.8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985C-9000-4D98-9A41-CFC91BE0E4F9}">
  <dimension ref="D3:I12"/>
  <sheetViews>
    <sheetView workbookViewId="0">
      <selection activeCell="P12" sqref="P12"/>
    </sheetView>
  </sheetViews>
  <sheetFormatPr defaultRowHeight="14.5" x14ac:dyDescent="0.35"/>
  <cols>
    <col min="6" max="6" width="12.1796875" customWidth="1"/>
  </cols>
  <sheetData>
    <row r="3" spans="4:9" x14ac:dyDescent="0.35">
      <c r="I3" t="s">
        <v>59</v>
      </c>
    </row>
    <row r="4" spans="4:9" x14ac:dyDescent="0.35">
      <c r="F4" s="4" t="s">
        <v>63</v>
      </c>
      <c r="G4" s="4">
        <v>6.96</v>
      </c>
    </row>
    <row r="6" spans="4:9" x14ac:dyDescent="0.35">
      <c r="D6" s="4" t="s">
        <v>56</v>
      </c>
      <c r="E6" s="4" t="s">
        <v>53</v>
      </c>
      <c r="F6" s="4" t="s">
        <v>51</v>
      </c>
      <c r="G6" s="4" t="s">
        <v>61</v>
      </c>
      <c r="H6" s="4" t="s">
        <v>62</v>
      </c>
    </row>
    <row r="7" spans="4:9" x14ac:dyDescent="0.35">
      <c r="D7" s="4">
        <v>4</v>
      </c>
      <c r="E7" s="4" t="s">
        <v>52</v>
      </c>
      <c r="F7" s="4">
        <v>6.99</v>
      </c>
      <c r="G7" s="4">
        <f>F7-$G$4</f>
        <v>3.0000000000000249E-2</v>
      </c>
      <c r="H7" s="4"/>
    </row>
    <row r="8" spans="4:9" x14ac:dyDescent="0.35">
      <c r="D8" s="4">
        <v>9</v>
      </c>
      <c r="E8" s="4" t="s">
        <v>54</v>
      </c>
      <c r="F8" s="4">
        <v>6.79</v>
      </c>
      <c r="G8" s="4">
        <f t="shared" ref="G8:G12" si="0">F8-$G$4</f>
        <v>-0.16999999999999993</v>
      </c>
      <c r="H8" s="4"/>
    </row>
    <row r="9" spans="4:9" x14ac:dyDescent="0.35">
      <c r="D9" s="4">
        <v>12</v>
      </c>
      <c r="E9" s="4" t="s">
        <v>55</v>
      </c>
      <c r="F9" s="4">
        <v>7.26</v>
      </c>
      <c r="G9" s="4">
        <f t="shared" si="0"/>
        <v>0.29999999999999982</v>
      </c>
      <c r="H9" s="4"/>
    </row>
    <row r="10" spans="4:9" x14ac:dyDescent="0.35">
      <c r="D10" s="4"/>
      <c r="E10" s="4" t="s">
        <v>58</v>
      </c>
      <c r="F10" s="4">
        <v>6.89</v>
      </c>
      <c r="G10" s="4">
        <f t="shared" si="0"/>
        <v>-7.0000000000000284E-2</v>
      </c>
      <c r="H10" s="4">
        <f>G7+G8</f>
        <v>-0.13999999999999968</v>
      </c>
    </row>
    <row r="11" spans="4:9" x14ac:dyDescent="0.35">
      <c r="D11" s="4"/>
      <c r="E11" s="4" t="s">
        <v>60</v>
      </c>
      <c r="F11" s="4">
        <v>7.1</v>
      </c>
      <c r="G11" s="4">
        <f t="shared" si="0"/>
        <v>0.13999999999999968</v>
      </c>
      <c r="H11" s="4">
        <f>G8+G9</f>
        <v>0.12999999999999989</v>
      </c>
    </row>
    <row r="12" spans="4:9" x14ac:dyDescent="0.35">
      <c r="D12" s="4"/>
      <c r="E12" s="4" t="s">
        <v>57</v>
      </c>
      <c r="F12" s="4">
        <v>7.3</v>
      </c>
      <c r="G12" s="4">
        <f t="shared" si="0"/>
        <v>0.33999999999999986</v>
      </c>
      <c r="H12" s="4">
        <f>G7+G9</f>
        <v>0.33000000000000007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7985-A012-40CC-9F1A-039713B93512}">
  <dimension ref="C3:AN140"/>
  <sheetViews>
    <sheetView tabSelected="1" topLeftCell="I1" zoomScale="55" zoomScaleNormal="55" workbookViewId="0">
      <selection activeCell="AF20" sqref="AF20"/>
    </sheetView>
  </sheetViews>
  <sheetFormatPr defaultRowHeight="14.5" x14ac:dyDescent="0.35"/>
  <cols>
    <col min="9" max="9" width="14.08984375" customWidth="1"/>
    <col min="10" max="10" width="13.453125" customWidth="1"/>
    <col min="11" max="11" width="14.6328125" customWidth="1"/>
    <col min="17" max="17" width="14.1796875" customWidth="1"/>
    <col min="18" max="18" width="15.08984375" customWidth="1"/>
    <col min="19" max="19" width="12.90625" customWidth="1"/>
  </cols>
  <sheetData>
    <row r="3" spans="3:40" x14ac:dyDescent="0.35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7" spans="3:40" ht="15" thickBot="1" x14ac:dyDescent="0.4"/>
    <row r="8" spans="3:40" x14ac:dyDescent="0.35">
      <c r="F8" s="6" t="s">
        <v>101</v>
      </c>
      <c r="G8" s="7"/>
      <c r="H8" s="16" t="s">
        <v>110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8"/>
    </row>
    <row r="9" spans="3:40" x14ac:dyDescent="0.35">
      <c r="F9" s="9" t="s">
        <v>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 t="s">
        <v>8</v>
      </c>
      <c r="Z9" s="10"/>
      <c r="AA9" s="10"/>
      <c r="AB9" s="10"/>
      <c r="AC9" s="10"/>
      <c r="AD9" s="10"/>
      <c r="AE9" s="12"/>
    </row>
    <row r="10" spans="3:40" x14ac:dyDescent="0.35">
      <c r="F10" s="9" t="s">
        <v>64</v>
      </c>
      <c r="G10" s="10" t="s">
        <v>65</v>
      </c>
      <c r="H10" s="10" t="s">
        <v>66</v>
      </c>
      <c r="I10" s="10" t="s">
        <v>85</v>
      </c>
      <c r="J10" s="10" t="s">
        <v>93</v>
      </c>
      <c r="K10" s="10" t="s">
        <v>94</v>
      </c>
      <c r="L10" s="10" t="s">
        <v>86</v>
      </c>
      <c r="M10" s="10" t="s">
        <v>87</v>
      </c>
      <c r="N10" s="10" t="s">
        <v>95</v>
      </c>
      <c r="O10" s="10" t="s">
        <v>88</v>
      </c>
      <c r="P10" s="10" t="s">
        <v>96</v>
      </c>
      <c r="Q10" s="10" t="s">
        <v>89</v>
      </c>
      <c r="R10" s="10" t="s">
        <v>97</v>
      </c>
      <c r="S10" s="10" t="s">
        <v>98</v>
      </c>
      <c r="T10" s="10" t="s">
        <v>90</v>
      </c>
      <c r="U10" s="10" t="s">
        <v>99</v>
      </c>
      <c r="V10" s="10" t="s">
        <v>91</v>
      </c>
      <c r="W10" s="10" t="s">
        <v>92</v>
      </c>
      <c r="X10" s="10"/>
      <c r="Y10" s="10" t="s">
        <v>64</v>
      </c>
      <c r="Z10" s="10" t="s">
        <v>65</v>
      </c>
      <c r="AA10" s="10" t="s">
        <v>66</v>
      </c>
      <c r="AB10" s="10" t="s">
        <v>1</v>
      </c>
      <c r="AC10" s="10" t="s">
        <v>67</v>
      </c>
      <c r="AD10" s="10" t="s">
        <v>68</v>
      </c>
      <c r="AE10" s="12" t="s">
        <v>69</v>
      </c>
    </row>
    <row r="11" spans="3:40" x14ac:dyDescent="0.35">
      <c r="F11" s="9">
        <v>1</v>
      </c>
      <c r="G11" s="10" t="s">
        <v>83</v>
      </c>
      <c r="H11" s="10">
        <v>1</v>
      </c>
      <c r="I11" s="10">
        <v>69</v>
      </c>
      <c r="J11" s="10">
        <v>1.06</v>
      </c>
      <c r="K11" s="10">
        <v>73.14</v>
      </c>
      <c r="L11" s="10">
        <v>-20.69</v>
      </c>
      <c r="M11" s="10">
        <v>106.3</v>
      </c>
      <c r="N11" s="10">
        <v>2.0099999999999998</v>
      </c>
      <c r="O11" s="10"/>
      <c r="P11" s="10"/>
      <c r="Q11" s="10"/>
      <c r="R11" s="10"/>
      <c r="S11" s="10"/>
      <c r="T11" s="10">
        <v>0</v>
      </c>
      <c r="U11" s="10">
        <v>0</v>
      </c>
      <c r="V11" s="10">
        <v>1</v>
      </c>
      <c r="W11" s="10">
        <v>1</v>
      </c>
      <c r="X11" s="10"/>
      <c r="Y11" s="10">
        <v>1</v>
      </c>
      <c r="Z11" s="10" t="s">
        <v>83</v>
      </c>
      <c r="AA11" s="10">
        <v>1</v>
      </c>
      <c r="AB11" s="10" t="s">
        <v>84</v>
      </c>
      <c r="AC11" s="10">
        <v>0</v>
      </c>
      <c r="AD11" s="10">
        <v>0</v>
      </c>
      <c r="AE11" s="12">
        <v>0</v>
      </c>
    </row>
    <row r="12" spans="3:40" x14ac:dyDescent="0.35">
      <c r="F12" s="9">
        <v>2</v>
      </c>
      <c r="G12" s="10" t="s">
        <v>74</v>
      </c>
      <c r="H12" s="10">
        <v>1</v>
      </c>
      <c r="I12" s="10">
        <v>69</v>
      </c>
      <c r="J12" s="10">
        <v>1.0456799999999999</v>
      </c>
      <c r="K12" s="10">
        <v>72.152000000000001</v>
      </c>
      <c r="L12" s="10">
        <v>-22.76</v>
      </c>
      <c r="M12" s="10">
        <v>40</v>
      </c>
      <c r="N12" s="10">
        <v>10.19</v>
      </c>
      <c r="O12" s="10">
        <v>21.7</v>
      </c>
      <c r="P12" s="10">
        <v>12.7</v>
      </c>
      <c r="Q12" s="10">
        <v>0</v>
      </c>
      <c r="R12" s="10">
        <v>0</v>
      </c>
      <c r="S12" s="10"/>
      <c r="T12" s="10">
        <v>0</v>
      </c>
      <c r="U12" s="10">
        <v>0</v>
      </c>
      <c r="V12" s="10">
        <v>1</v>
      </c>
      <c r="W12" s="10">
        <v>1</v>
      </c>
      <c r="X12" s="10"/>
      <c r="Y12" s="10">
        <v>2</v>
      </c>
      <c r="Z12" s="10" t="s">
        <v>74</v>
      </c>
      <c r="AA12" s="10">
        <v>1</v>
      </c>
      <c r="AB12" s="10" t="s">
        <v>9</v>
      </c>
      <c r="AC12" s="10">
        <v>11.55</v>
      </c>
      <c r="AD12" s="10">
        <v>-0.14000000000000001</v>
      </c>
      <c r="AE12" s="12">
        <v>11.55</v>
      </c>
    </row>
    <row r="13" spans="3:40" x14ac:dyDescent="0.35">
      <c r="F13" s="9">
        <v>3</v>
      </c>
      <c r="G13" s="10" t="s">
        <v>77</v>
      </c>
      <c r="H13" s="10">
        <v>1</v>
      </c>
      <c r="I13" s="10">
        <v>69</v>
      </c>
      <c r="J13" s="10">
        <v>1.0130999999999999</v>
      </c>
      <c r="K13" s="10">
        <v>69.903999999999996</v>
      </c>
      <c r="L13" s="10">
        <v>-25.18</v>
      </c>
      <c r="M13" s="10">
        <v>65</v>
      </c>
      <c r="N13" s="10">
        <v>-5.99</v>
      </c>
      <c r="O13" s="10">
        <v>94.2</v>
      </c>
      <c r="P13" s="10">
        <v>19</v>
      </c>
      <c r="Q13" s="10">
        <v>0</v>
      </c>
      <c r="R13" s="10">
        <v>0</v>
      </c>
      <c r="S13" s="10"/>
      <c r="T13" s="10">
        <v>0</v>
      </c>
      <c r="U13" s="10">
        <v>0</v>
      </c>
      <c r="V13" s="10">
        <v>1</v>
      </c>
      <c r="W13" s="10">
        <v>1</v>
      </c>
      <c r="X13" s="10"/>
      <c r="Y13" s="10">
        <v>3</v>
      </c>
      <c r="Z13" s="10" t="s">
        <v>77</v>
      </c>
      <c r="AA13" s="10">
        <v>1</v>
      </c>
      <c r="AB13" s="10" t="s">
        <v>9</v>
      </c>
      <c r="AC13" s="10">
        <v>-1.21</v>
      </c>
      <c r="AD13" s="10">
        <v>-0.63</v>
      </c>
      <c r="AE13" s="12">
        <v>1.36</v>
      </c>
    </row>
    <row r="14" spans="3:40" x14ac:dyDescent="0.35">
      <c r="F14" s="9">
        <v>4</v>
      </c>
      <c r="G14" s="10" t="s">
        <v>70</v>
      </c>
      <c r="H14" s="10">
        <v>1</v>
      </c>
      <c r="I14" s="10">
        <v>69</v>
      </c>
      <c r="J14" s="10">
        <v>1.03505</v>
      </c>
      <c r="K14" s="10">
        <v>71.418000000000006</v>
      </c>
      <c r="L14" s="10">
        <v>-25.33</v>
      </c>
      <c r="M14" s="10"/>
      <c r="N14" s="10"/>
      <c r="O14" s="10">
        <v>47.8</v>
      </c>
      <c r="P14" s="10">
        <v>-3.9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1</v>
      </c>
      <c r="W14" s="10">
        <v>1</v>
      </c>
      <c r="X14" s="10"/>
      <c r="Y14" s="10">
        <v>4</v>
      </c>
      <c r="Z14" s="10" t="s">
        <v>70</v>
      </c>
      <c r="AA14" s="10">
        <v>1</v>
      </c>
      <c r="AB14" s="10" t="s">
        <v>11</v>
      </c>
      <c r="AC14" s="10">
        <v>-38.85</v>
      </c>
      <c r="AD14" s="10">
        <v>6.85</v>
      </c>
      <c r="AE14" s="12">
        <v>39.44</v>
      </c>
    </row>
    <row r="15" spans="3:40" x14ac:dyDescent="0.35">
      <c r="F15" s="9">
        <v>5</v>
      </c>
      <c r="G15" s="10" t="s">
        <v>79</v>
      </c>
      <c r="H15" s="10">
        <v>1</v>
      </c>
      <c r="I15" s="10">
        <v>69</v>
      </c>
      <c r="J15" s="10">
        <v>1.0364800000000001</v>
      </c>
      <c r="K15" s="10">
        <v>71.516999999999996</v>
      </c>
      <c r="L15" s="10">
        <v>-24.92</v>
      </c>
      <c r="M15" s="10"/>
      <c r="N15" s="10"/>
      <c r="O15" s="10">
        <v>7.6</v>
      </c>
      <c r="P15" s="10">
        <v>1.6</v>
      </c>
      <c r="Q15" s="10">
        <v>0</v>
      </c>
      <c r="R15" s="10">
        <v>0</v>
      </c>
      <c r="S15" s="10"/>
      <c r="T15" s="10">
        <v>0</v>
      </c>
      <c r="U15" s="10">
        <v>0</v>
      </c>
      <c r="V15" s="10">
        <v>1</v>
      </c>
      <c r="W15" s="10">
        <v>1</v>
      </c>
      <c r="X15" s="10"/>
      <c r="Y15" s="10">
        <v>5</v>
      </c>
      <c r="Z15" s="10" t="s">
        <v>79</v>
      </c>
      <c r="AA15" s="10">
        <v>1</v>
      </c>
      <c r="AB15" s="10" t="s">
        <v>11</v>
      </c>
      <c r="AC15" s="10">
        <v>2.11</v>
      </c>
      <c r="AD15" s="10">
        <v>21.81</v>
      </c>
      <c r="AE15" s="12">
        <v>21.91</v>
      </c>
    </row>
    <row r="16" spans="3:40" x14ac:dyDescent="0.35">
      <c r="F16" s="9">
        <v>6</v>
      </c>
      <c r="G16" s="10" t="s">
        <v>71</v>
      </c>
      <c r="H16" s="10">
        <v>1</v>
      </c>
      <c r="I16" s="10">
        <v>13.8</v>
      </c>
      <c r="J16" s="10">
        <v>1.0843</v>
      </c>
      <c r="K16" s="10">
        <v>14.962999999999999</v>
      </c>
      <c r="L16" s="10">
        <v>-31.01</v>
      </c>
      <c r="M16" s="10">
        <v>0</v>
      </c>
      <c r="N16" s="10">
        <v>68.14</v>
      </c>
      <c r="O16" s="10">
        <v>11.2</v>
      </c>
      <c r="P16" s="10">
        <v>7.5</v>
      </c>
      <c r="Q16" s="10">
        <v>0</v>
      </c>
      <c r="R16" s="10">
        <v>0</v>
      </c>
      <c r="S16" s="10"/>
      <c r="T16" s="10">
        <v>0</v>
      </c>
      <c r="U16" s="10">
        <v>0</v>
      </c>
      <c r="V16" s="10">
        <v>1</v>
      </c>
      <c r="W16" s="10">
        <v>1</v>
      </c>
      <c r="X16" s="10"/>
      <c r="Y16" s="10">
        <v>6</v>
      </c>
      <c r="Z16" s="10" t="s">
        <v>71</v>
      </c>
      <c r="AA16" s="10">
        <v>1</v>
      </c>
      <c r="AB16" s="10" t="s">
        <v>9</v>
      </c>
      <c r="AC16" s="10">
        <v>3.69</v>
      </c>
      <c r="AD16" s="10">
        <v>-3.08</v>
      </c>
      <c r="AE16" s="12">
        <v>4.8</v>
      </c>
    </row>
    <row r="17" spans="6:31" x14ac:dyDescent="0.35">
      <c r="F17" s="9">
        <v>7</v>
      </c>
      <c r="G17" s="10" t="s">
        <v>73</v>
      </c>
      <c r="H17" s="10">
        <v>1</v>
      </c>
      <c r="I17" s="10">
        <v>13.8</v>
      </c>
      <c r="J17" s="10">
        <v>1.0629900000000001</v>
      </c>
      <c r="K17" s="10">
        <v>14.669</v>
      </c>
      <c r="L17" s="10">
        <v>-30.69</v>
      </c>
      <c r="M17" s="10"/>
      <c r="N17" s="10"/>
      <c r="O17" s="10">
        <v>0</v>
      </c>
      <c r="P17" s="10">
        <v>0</v>
      </c>
      <c r="Q17" s="10">
        <v>0</v>
      </c>
      <c r="R17" s="10">
        <v>0</v>
      </c>
      <c r="S17" s="10"/>
      <c r="T17" s="10">
        <v>0</v>
      </c>
      <c r="U17" s="10">
        <v>0</v>
      </c>
      <c r="V17" s="10">
        <v>1</v>
      </c>
      <c r="W17" s="10">
        <v>1</v>
      </c>
      <c r="X17" s="10"/>
      <c r="Y17" s="10">
        <v>7</v>
      </c>
      <c r="Z17" s="10" t="s">
        <v>73</v>
      </c>
      <c r="AA17" s="10">
        <v>1</v>
      </c>
      <c r="AB17" s="10" t="s">
        <v>11</v>
      </c>
      <c r="AC17" s="10">
        <v>9.57</v>
      </c>
      <c r="AD17" s="10">
        <v>19.16</v>
      </c>
      <c r="AE17" s="12">
        <v>21.42</v>
      </c>
    </row>
    <row r="18" spans="6:31" x14ac:dyDescent="0.35">
      <c r="F18" s="9">
        <v>8</v>
      </c>
      <c r="G18" s="10" t="s">
        <v>80</v>
      </c>
      <c r="H18" s="10">
        <v>1</v>
      </c>
      <c r="I18" s="10">
        <v>18</v>
      </c>
      <c r="J18" s="10">
        <v>1.1062700000000001</v>
      </c>
      <c r="K18" s="10">
        <v>19.913</v>
      </c>
      <c r="L18" s="10">
        <v>-30.53</v>
      </c>
      <c r="M18" s="10">
        <v>0</v>
      </c>
      <c r="N18" s="10">
        <v>36.44</v>
      </c>
      <c r="O18" s="10"/>
      <c r="P18" s="10"/>
      <c r="Q18" s="10"/>
      <c r="R18" s="10"/>
      <c r="S18" s="10"/>
      <c r="T18" s="10">
        <v>0</v>
      </c>
      <c r="U18" s="10">
        <v>0</v>
      </c>
      <c r="V18" s="10">
        <v>1</v>
      </c>
      <c r="W18" s="10">
        <v>1</v>
      </c>
      <c r="X18" s="10"/>
      <c r="Y18" s="10">
        <v>8</v>
      </c>
      <c r="Z18" s="10" t="s">
        <v>80</v>
      </c>
      <c r="AA18" s="10">
        <v>1</v>
      </c>
      <c r="AB18" s="10" t="s">
        <v>9</v>
      </c>
      <c r="AC18" s="10">
        <v>-1.93</v>
      </c>
      <c r="AD18" s="10">
        <v>-3.57</v>
      </c>
      <c r="AE18" s="12">
        <v>4.0599999999999996</v>
      </c>
    </row>
    <row r="19" spans="6:31" x14ac:dyDescent="0.35">
      <c r="F19" s="9">
        <v>9</v>
      </c>
      <c r="G19" s="10" t="s">
        <v>72</v>
      </c>
      <c r="H19" s="10">
        <v>1</v>
      </c>
      <c r="I19" s="10">
        <v>13.8</v>
      </c>
      <c r="J19" s="10">
        <v>1.0619000000000001</v>
      </c>
      <c r="K19" s="10">
        <v>14.654</v>
      </c>
      <c r="L19" s="10">
        <v>-30.97</v>
      </c>
      <c r="M19" s="10"/>
      <c r="N19" s="10"/>
      <c r="O19" s="10">
        <v>29.5</v>
      </c>
      <c r="P19" s="10">
        <v>16.600000000000001</v>
      </c>
      <c r="Q19" s="10">
        <v>0</v>
      </c>
      <c r="R19" s="10">
        <v>0</v>
      </c>
      <c r="S19" s="10">
        <v>21.43</v>
      </c>
      <c r="T19" s="10">
        <v>0</v>
      </c>
      <c r="U19" s="10">
        <v>0</v>
      </c>
      <c r="V19" s="10">
        <v>1</v>
      </c>
      <c r="W19" s="10">
        <v>1</v>
      </c>
      <c r="X19" s="10"/>
      <c r="Y19" s="10">
        <v>9</v>
      </c>
      <c r="Z19" s="10" t="s">
        <v>72</v>
      </c>
      <c r="AA19" s="10">
        <v>1</v>
      </c>
      <c r="AB19" s="10" t="s">
        <v>11</v>
      </c>
      <c r="AC19" s="10">
        <v>-16.579999999999998</v>
      </c>
      <c r="AD19" s="10">
        <v>-5.0999999999999996</v>
      </c>
      <c r="AE19" s="12">
        <v>17.350000000000001</v>
      </c>
    </row>
    <row r="20" spans="6:31" x14ac:dyDescent="0.35">
      <c r="F20" s="9">
        <v>10</v>
      </c>
      <c r="G20" s="10" t="s">
        <v>75</v>
      </c>
      <c r="H20" s="10">
        <v>1</v>
      </c>
      <c r="I20" s="10">
        <v>13.8</v>
      </c>
      <c r="J20" s="10">
        <v>1.0581700000000001</v>
      </c>
      <c r="K20" s="10">
        <v>14.603</v>
      </c>
      <c r="L20" s="10">
        <v>-31.1</v>
      </c>
      <c r="M20" s="10"/>
      <c r="N20" s="10"/>
      <c r="O20" s="10">
        <v>9</v>
      </c>
      <c r="P20" s="10">
        <v>5.8</v>
      </c>
      <c r="Q20" s="10">
        <v>0</v>
      </c>
      <c r="R20" s="10">
        <v>0</v>
      </c>
      <c r="S20" s="10"/>
      <c r="T20" s="10">
        <v>0</v>
      </c>
      <c r="U20" s="10">
        <v>0</v>
      </c>
      <c r="V20" s="10">
        <v>1</v>
      </c>
      <c r="W20" s="10">
        <v>1</v>
      </c>
      <c r="X20" s="10"/>
      <c r="Y20" s="10">
        <v>10</v>
      </c>
      <c r="Z20" s="10" t="s">
        <v>75</v>
      </c>
      <c r="AA20" s="10">
        <v>1</v>
      </c>
      <c r="AB20" s="10" t="s">
        <v>11</v>
      </c>
      <c r="AC20" s="10">
        <v>-1.58</v>
      </c>
      <c r="AD20" s="10">
        <v>-2.74</v>
      </c>
      <c r="AE20" s="12">
        <v>3.16</v>
      </c>
    </row>
    <row r="21" spans="6:31" x14ac:dyDescent="0.35">
      <c r="F21" s="9">
        <v>11</v>
      </c>
      <c r="G21" s="10" t="s">
        <v>82</v>
      </c>
      <c r="H21" s="10">
        <v>1</v>
      </c>
      <c r="I21" s="10">
        <v>13.8</v>
      </c>
      <c r="J21" s="10">
        <v>1.0606199999999999</v>
      </c>
      <c r="K21" s="10">
        <v>14.635999999999999</v>
      </c>
      <c r="L21" s="10">
        <v>-30.78</v>
      </c>
      <c r="M21" s="10"/>
      <c r="N21" s="10"/>
      <c r="O21" s="10">
        <v>3.5</v>
      </c>
      <c r="P21" s="10">
        <v>1.8</v>
      </c>
      <c r="Q21" s="10">
        <v>0</v>
      </c>
      <c r="R21" s="10">
        <v>0</v>
      </c>
      <c r="S21" s="10"/>
      <c r="T21" s="10">
        <v>0</v>
      </c>
      <c r="U21" s="10">
        <v>0</v>
      </c>
      <c r="V21" s="10">
        <v>1</v>
      </c>
      <c r="W21" s="10">
        <v>1</v>
      </c>
      <c r="X21" s="10"/>
      <c r="Y21" s="10">
        <v>11</v>
      </c>
      <c r="Z21" s="10" t="s">
        <v>82</v>
      </c>
      <c r="AA21" s="10">
        <v>1</v>
      </c>
      <c r="AB21" s="10" t="s">
        <v>11</v>
      </c>
      <c r="AC21" s="10">
        <v>-3.69</v>
      </c>
      <c r="AD21" s="10">
        <v>9.39</v>
      </c>
      <c r="AE21" s="12">
        <v>10.09</v>
      </c>
    </row>
    <row r="22" spans="6:31" x14ac:dyDescent="0.35">
      <c r="F22" s="9">
        <v>12</v>
      </c>
      <c r="G22" s="10" t="s">
        <v>76</v>
      </c>
      <c r="H22" s="10">
        <v>1</v>
      </c>
      <c r="I22" s="10">
        <v>13.8</v>
      </c>
      <c r="J22" s="10">
        <v>1.05901</v>
      </c>
      <c r="K22" s="10">
        <v>14.614000000000001</v>
      </c>
      <c r="L22" s="10">
        <v>-30.94</v>
      </c>
      <c r="M22" s="10"/>
      <c r="N22" s="10"/>
      <c r="O22" s="10">
        <v>6.1</v>
      </c>
      <c r="P22" s="10">
        <v>1.6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</v>
      </c>
      <c r="W22" s="10">
        <v>1</v>
      </c>
      <c r="X22" s="10"/>
      <c r="Y22" s="10">
        <v>12</v>
      </c>
      <c r="Z22" s="10" t="s">
        <v>76</v>
      </c>
      <c r="AA22" s="10">
        <v>1</v>
      </c>
      <c r="AB22" s="10" t="s">
        <v>11</v>
      </c>
      <c r="AC22" s="10">
        <v>-3.73</v>
      </c>
      <c r="AD22" s="10">
        <v>6.86</v>
      </c>
      <c r="AE22" s="12">
        <v>7.81</v>
      </c>
    </row>
    <row r="23" spans="6:31" x14ac:dyDescent="0.35">
      <c r="F23" s="9">
        <v>13</v>
      </c>
      <c r="G23" s="10" t="s">
        <v>78</v>
      </c>
      <c r="H23" s="10">
        <v>1</v>
      </c>
      <c r="I23" s="10">
        <v>13.8</v>
      </c>
      <c r="J23" s="10">
        <v>1.05585</v>
      </c>
      <c r="K23" s="10">
        <v>14.571</v>
      </c>
      <c r="L23" s="10">
        <v>-31.04</v>
      </c>
      <c r="M23" s="10"/>
      <c r="N23" s="10"/>
      <c r="O23" s="10">
        <v>13.5</v>
      </c>
      <c r="P23" s="10">
        <v>5.8</v>
      </c>
      <c r="Q23" s="10">
        <v>0</v>
      </c>
      <c r="R23" s="10">
        <v>0</v>
      </c>
      <c r="S23" s="10"/>
      <c r="T23" s="10">
        <v>0</v>
      </c>
      <c r="U23" s="10">
        <v>0</v>
      </c>
      <c r="V23" s="10">
        <v>1</v>
      </c>
      <c r="W23" s="10">
        <v>1</v>
      </c>
      <c r="X23" s="10"/>
      <c r="Y23" s="10">
        <v>13</v>
      </c>
      <c r="Z23" s="10" t="s">
        <v>78</v>
      </c>
      <c r="AA23" s="10">
        <v>1</v>
      </c>
      <c r="AB23" s="10" t="s">
        <v>11</v>
      </c>
      <c r="AC23" s="10">
        <v>-6.94</v>
      </c>
      <c r="AD23" s="10">
        <v>12.63</v>
      </c>
      <c r="AE23" s="12">
        <v>14.41</v>
      </c>
    </row>
    <row r="24" spans="6:31" x14ac:dyDescent="0.35">
      <c r="F24" s="9">
        <v>14</v>
      </c>
      <c r="G24" s="10" t="s">
        <v>81</v>
      </c>
      <c r="H24" s="10">
        <v>1</v>
      </c>
      <c r="I24" s="10">
        <v>13.8</v>
      </c>
      <c r="J24" s="10">
        <v>1.0489200000000001</v>
      </c>
      <c r="K24" s="10">
        <v>14.475</v>
      </c>
      <c r="L24" s="10">
        <v>-31.85</v>
      </c>
      <c r="M24" s="10"/>
      <c r="N24" s="10"/>
      <c r="O24" s="10">
        <v>14.9</v>
      </c>
      <c r="P24" s="10">
        <v>5</v>
      </c>
      <c r="Q24" s="10">
        <v>0</v>
      </c>
      <c r="R24" s="10">
        <v>0</v>
      </c>
      <c r="S24" s="10"/>
      <c r="T24" s="10">
        <v>0</v>
      </c>
      <c r="U24" s="10">
        <v>0</v>
      </c>
      <c r="V24" s="10">
        <v>1</v>
      </c>
      <c r="W24" s="10">
        <v>1</v>
      </c>
      <c r="X24" s="10"/>
      <c r="Y24" s="10">
        <v>14</v>
      </c>
      <c r="Z24" s="10" t="s">
        <v>81</v>
      </c>
      <c r="AA24" s="10">
        <v>1</v>
      </c>
      <c r="AB24" s="10" t="s">
        <v>11</v>
      </c>
      <c r="AC24" s="10">
        <v>-3.31</v>
      </c>
      <c r="AD24" s="10">
        <v>-3.5</v>
      </c>
      <c r="AE24" s="12">
        <v>4.82</v>
      </c>
    </row>
    <row r="25" spans="6:31" x14ac:dyDescent="0.35"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2"/>
    </row>
    <row r="26" spans="6:31" x14ac:dyDescent="0.35"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2"/>
    </row>
    <row r="27" spans="6:31" x14ac:dyDescent="0.35">
      <c r="F27" s="9" t="s">
        <v>102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2"/>
    </row>
    <row r="28" spans="6:31" x14ac:dyDescent="0.35">
      <c r="F28" s="9" t="s">
        <v>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s">
        <v>8</v>
      </c>
      <c r="Z28" s="10"/>
      <c r="AA28" s="10"/>
      <c r="AB28" s="10"/>
      <c r="AC28" s="10"/>
      <c r="AD28" s="10"/>
      <c r="AE28" s="12"/>
    </row>
    <row r="29" spans="6:31" x14ac:dyDescent="0.35">
      <c r="F29" s="9" t="s">
        <v>64</v>
      </c>
      <c r="G29" s="10" t="s">
        <v>65</v>
      </c>
      <c r="H29" s="10" t="s">
        <v>66</v>
      </c>
      <c r="I29" s="10" t="s">
        <v>85</v>
      </c>
      <c r="J29" s="10" t="s">
        <v>93</v>
      </c>
      <c r="K29" s="10" t="s">
        <v>94</v>
      </c>
      <c r="L29" s="10" t="s">
        <v>86</v>
      </c>
      <c r="M29" s="10" t="s">
        <v>87</v>
      </c>
      <c r="N29" s="10" t="s">
        <v>95</v>
      </c>
      <c r="O29" s="10" t="s">
        <v>88</v>
      </c>
      <c r="P29" s="10" t="s">
        <v>96</v>
      </c>
      <c r="Q29" s="10" t="s">
        <v>89</v>
      </c>
      <c r="R29" s="10" t="s">
        <v>97</v>
      </c>
      <c r="S29" s="10" t="s">
        <v>98</v>
      </c>
      <c r="T29" s="10" t="s">
        <v>90</v>
      </c>
      <c r="U29" s="10" t="s">
        <v>99</v>
      </c>
      <c r="V29" s="10" t="s">
        <v>91</v>
      </c>
      <c r="W29" s="10" t="s">
        <v>92</v>
      </c>
      <c r="X29" s="10"/>
      <c r="Y29" s="10" t="s">
        <v>64</v>
      </c>
      <c r="Z29" s="10" t="s">
        <v>65</v>
      </c>
      <c r="AA29" s="10" t="s">
        <v>66</v>
      </c>
      <c r="AB29" s="10" t="s">
        <v>1</v>
      </c>
      <c r="AC29" s="10" t="s">
        <v>67</v>
      </c>
      <c r="AD29" s="10" t="s">
        <v>68</v>
      </c>
      <c r="AE29" s="12" t="s">
        <v>69</v>
      </c>
    </row>
    <row r="30" spans="6:31" x14ac:dyDescent="0.35">
      <c r="F30" s="9">
        <v>1</v>
      </c>
      <c r="G30" s="10" t="s">
        <v>83</v>
      </c>
      <c r="H30" s="10">
        <v>1</v>
      </c>
      <c r="I30" s="10">
        <v>69</v>
      </c>
      <c r="J30" s="10">
        <v>1.06</v>
      </c>
      <c r="K30" s="10">
        <v>73.14</v>
      </c>
      <c r="L30" s="10">
        <v>-20.69</v>
      </c>
      <c r="M30" s="10">
        <v>160.78</v>
      </c>
      <c r="N30" s="10">
        <v>-9.59</v>
      </c>
      <c r="O30" s="10"/>
      <c r="P30" s="10"/>
      <c r="Q30" s="10"/>
      <c r="R30" s="10"/>
      <c r="S30" s="10"/>
      <c r="T30" s="10">
        <v>0</v>
      </c>
      <c r="U30" s="10">
        <v>0</v>
      </c>
      <c r="V30" s="10">
        <v>1</v>
      </c>
      <c r="W30" s="10">
        <v>1</v>
      </c>
      <c r="X30" s="10"/>
      <c r="Y30" s="10">
        <v>1</v>
      </c>
      <c r="Z30" s="10" t="s">
        <v>83</v>
      </c>
      <c r="AA30" s="10">
        <v>1</v>
      </c>
      <c r="AB30" s="10" t="s">
        <v>84</v>
      </c>
      <c r="AC30" s="10">
        <v>0</v>
      </c>
      <c r="AD30" s="10">
        <v>0</v>
      </c>
      <c r="AE30" s="12">
        <v>0</v>
      </c>
    </row>
    <row r="31" spans="6:31" x14ac:dyDescent="0.35">
      <c r="F31" s="9">
        <v>2</v>
      </c>
      <c r="G31" s="10" t="s">
        <v>74</v>
      </c>
      <c r="H31" s="10">
        <v>1</v>
      </c>
      <c r="I31" s="10">
        <v>69</v>
      </c>
      <c r="J31" s="10">
        <v>1.0449999999999999</v>
      </c>
      <c r="K31" s="10">
        <v>72.105000000000004</v>
      </c>
      <c r="L31" s="10">
        <v>-23.87</v>
      </c>
      <c r="M31" s="10">
        <v>40</v>
      </c>
      <c r="N31" s="10">
        <v>7.48</v>
      </c>
      <c r="O31" s="10">
        <v>21.7</v>
      </c>
      <c r="P31" s="10">
        <v>12.7</v>
      </c>
      <c r="Q31" s="10">
        <v>0</v>
      </c>
      <c r="R31" s="10">
        <v>0</v>
      </c>
      <c r="S31" s="10"/>
      <c r="T31" s="10">
        <v>0</v>
      </c>
      <c r="U31" s="10">
        <v>0</v>
      </c>
      <c r="V31" s="10">
        <v>1</v>
      </c>
      <c r="W31" s="10">
        <v>1</v>
      </c>
      <c r="X31" s="10"/>
      <c r="Y31" s="10">
        <v>2</v>
      </c>
      <c r="Z31" s="10" t="s">
        <v>74</v>
      </c>
      <c r="AA31" s="10">
        <v>1</v>
      </c>
      <c r="AB31" s="10" t="s">
        <v>9</v>
      </c>
      <c r="AC31" s="10">
        <v>0</v>
      </c>
      <c r="AD31" s="10">
        <v>0</v>
      </c>
      <c r="AE31" s="12">
        <v>0</v>
      </c>
    </row>
    <row r="32" spans="6:31" x14ac:dyDescent="0.35">
      <c r="F32" s="9">
        <v>3</v>
      </c>
      <c r="G32" s="10" t="s">
        <v>77</v>
      </c>
      <c r="H32" s="10">
        <v>1</v>
      </c>
      <c r="I32" s="10">
        <v>69</v>
      </c>
      <c r="J32" s="10">
        <v>1.01755</v>
      </c>
      <c r="K32" s="10">
        <v>70.210999999999999</v>
      </c>
      <c r="L32" s="10">
        <v>-27.47</v>
      </c>
      <c r="M32" s="10">
        <v>65</v>
      </c>
      <c r="N32" s="10">
        <v>0</v>
      </c>
      <c r="O32" s="10">
        <v>94.2</v>
      </c>
      <c r="P32" s="10">
        <v>19</v>
      </c>
      <c r="Q32" s="10">
        <v>0</v>
      </c>
      <c r="R32" s="10">
        <v>0</v>
      </c>
      <c r="S32" s="10"/>
      <c r="T32" s="10">
        <v>0</v>
      </c>
      <c r="U32" s="10">
        <v>0</v>
      </c>
      <c r="V32" s="10">
        <v>1</v>
      </c>
      <c r="W32" s="10">
        <v>1</v>
      </c>
      <c r="X32" s="10"/>
      <c r="Y32" s="10">
        <v>3</v>
      </c>
      <c r="Z32" s="10" t="s">
        <v>77</v>
      </c>
      <c r="AA32" s="10">
        <v>1</v>
      </c>
      <c r="AB32" s="10" t="s">
        <v>100</v>
      </c>
      <c r="AC32" s="10">
        <v>0</v>
      </c>
      <c r="AD32" s="10">
        <v>0</v>
      </c>
      <c r="AE32" s="12">
        <v>0</v>
      </c>
    </row>
    <row r="33" spans="6:31" x14ac:dyDescent="0.35">
      <c r="F33" s="9">
        <v>4</v>
      </c>
      <c r="G33" s="10" t="s">
        <v>70</v>
      </c>
      <c r="H33" s="10">
        <v>1</v>
      </c>
      <c r="I33" s="10">
        <v>69</v>
      </c>
      <c r="J33" s="10">
        <v>1.03294</v>
      </c>
      <c r="K33" s="10">
        <v>71.272999999999996</v>
      </c>
      <c r="L33" s="10">
        <v>-28.42</v>
      </c>
      <c r="M33" s="10"/>
      <c r="N33" s="10"/>
      <c r="O33" s="10">
        <v>47.8</v>
      </c>
      <c r="P33" s="10">
        <v>-3.9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1</v>
      </c>
      <c r="W33" s="10">
        <v>1</v>
      </c>
      <c r="X33" s="10"/>
      <c r="Y33" s="10">
        <v>4</v>
      </c>
      <c r="Z33" s="10" t="s">
        <v>70</v>
      </c>
      <c r="AA33" s="10">
        <v>1</v>
      </c>
      <c r="AB33" s="10" t="s">
        <v>11</v>
      </c>
      <c r="AC33" s="10">
        <v>0</v>
      </c>
      <c r="AD33" s="10">
        <v>0</v>
      </c>
      <c r="AE33" s="12">
        <v>0</v>
      </c>
    </row>
    <row r="34" spans="6:31" x14ac:dyDescent="0.35">
      <c r="F34" s="9">
        <v>5</v>
      </c>
      <c r="G34" s="10" t="s">
        <v>79</v>
      </c>
      <c r="H34" s="10">
        <v>1</v>
      </c>
      <c r="I34" s="10">
        <v>69</v>
      </c>
      <c r="J34" s="10">
        <v>1.03762</v>
      </c>
      <c r="K34" s="10">
        <v>71.596000000000004</v>
      </c>
      <c r="L34" s="10">
        <v>-27.47</v>
      </c>
      <c r="M34" s="10"/>
      <c r="N34" s="10"/>
      <c r="O34" s="10">
        <v>7.6</v>
      </c>
      <c r="P34" s="10">
        <v>1.6</v>
      </c>
      <c r="Q34" s="10">
        <v>0</v>
      </c>
      <c r="R34" s="10">
        <v>0</v>
      </c>
      <c r="S34" s="10"/>
      <c r="T34" s="10">
        <v>0</v>
      </c>
      <c r="U34" s="10">
        <v>0</v>
      </c>
      <c r="V34" s="10">
        <v>1</v>
      </c>
      <c r="W34" s="10">
        <v>1</v>
      </c>
      <c r="X34" s="10"/>
      <c r="Y34" s="10">
        <v>5</v>
      </c>
      <c r="Z34" s="10" t="s">
        <v>79</v>
      </c>
      <c r="AA34" s="10">
        <v>1</v>
      </c>
      <c r="AB34" s="10" t="s">
        <v>11</v>
      </c>
      <c r="AC34" s="10">
        <v>0</v>
      </c>
      <c r="AD34" s="10">
        <v>0</v>
      </c>
      <c r="AE34" s="12">
        <v>0</v>
      </c>
    </row>
    <row r="35" spans="6:31" x14ac:dyDescent="0.35">
      <c r="F35" s="9">
        <v>6</v>
      </c>
      <c r="G35" s="10" t="s">
        <v>71</v>
      </c>
      <c r="H35" s="10">
        <v>1</v>
      </c>
      <c r="I35" s="10">
        <v>13.8</v>
      </c>
      <c r="J35" s="10">
        <v>1.07</v>
      </c>
      <c r="K35" s="10">
        <v>14.766</v>
      </c>
      <c r="L35" s="10">
        <v>-35.130000000000003</v>
      </c>
      <c r="M35" s="10">
        <v>0</v>
      </c>
      <c r="N35" s="10">
        <v>37.46</v>
      </c>
      <c r="O35" s="10">
        <v>11.2</v>
      </c>
      <c r="P35" s="10">
        <v>7.5</v>
      </c>
      <c r="Q35" s="10">
        <v>0</v>
      </c>
      <c r="R35" s="10">
        <v>0</v>
      </c>
      <c r="S35" s="10"/>
      <c r="T35" s="10">
        <v>0</v>
      </c>
      <c r="U35" s="10">
        <v>0</v>
      </c>
      <c r="V35" s="10">
        <v>1</v>
      </c>
      <c r="W35" s="10">
        <v>1</v>
      </c>
      <c r="X35" s="10"/>
      <c r="Y35" s="10">
        <v>6</v>
      </c>
      <c r="Z35" s="10" t="s">
        <v>71</v>
      </c>
      <c r="AA35" s="10">
        <v>1</v>
      </c>
      <c r="AB35" s="10" t="s">
        <v>9</v>
      </c>
      <c r="AC35" s="10">
        <v>0</v>
      </c>
      <c r="AD35" s="10">
        <v>0</v>
      </c>
      <c r="AE35" s="12">
        <v>0</v>
      </c>
    </row>
    <row r="36" spans="6:31" x14ac:dyDescent="0.35">
      <c r="F36" s="9">
        <v>7</v>
      </c>
      <c r="G36" s="10" t="s">
        <v>73</v>
      </c>
      <c r="H36" s="10">
        <v>1</v>
      </c>
      <c r="I36" s="10">
        <v>13.8</v>
      </c>
      <c r="J36" s="10">
        <v>1.06328</v>
      </c>
      <c r="K36" s="10">
        <v>14.673</v>
      </c>
      <c r="L36" s="10">
        <v>-34.590000000000003</v>
      </c>
      <c r="M36" s="10"/>
      <c r="N36" s="10"/>
      <c r="O36" s="10">
        <v>0</v>
      </c>
      <c r="P36" s="10">
        <v>0</v>
      </c>
      <c r="Q36" s="10">
        <v>0</v>
      </c>
      <c r="R36" s="10">
        <v>0</v>
      </c>
      <c r="S36" s="10"/>
      <c r="T36" s="10">
        <v>0</v>
      </c>
      <c r="U36" s="10">
        <v>0</v>
      </c>
      <c r="V36" s="10">
        <v>1</v>
      </c>
      <c r="W36" s="10">
        <v>1</v>
      </c>
      <c r="X36" s="10"/>
      <c r="Y36" s="10">
        <v>7</v>
      </c>
      <c r="Z36" s="10" t="s">
        <v>73</v>
      </c>
      <c r="AA36" s="10">
        <v>1</v>
      </c>
      <c r="AB36" s="10" t="s">
        <v>11</v>
      </c>
      <c r="AC36" s="10">
        <v>0</v>
      </c>
      <c r="AD36" s="10">
        <v>0</v>
      </c>
      <c r="AE36" s="12">
        <v>0</v>
      </c>
    </row>
    <row r="37" spans="6:31" x14ac:dyDescent="0.35">
      <c r="F37" s="9">
        <v>8</v>
      </c>
      <c r="G37" s="10" t="s">
        <v>80</v>
      </c>
      <c r="H37" s="10">
        <v>1</v>
      </c>
      <c r="I37" s="10">
        <v>18</v>
      </c>
      <c r="J37" s="10">
        <v>1.0900000000000001</v>
      </c>
      <c r="K37" s="10">
        <v>19.62</v>
      </c>
      <c r="L37" s="10">
        <v>-34.590000000000003</v>
      </c>
      <c r="M37" s="10">
        <v>0</v>
      </c>
      <c r="N37" s="10">
        <v>25.39</v>
      </c>
      <c r="O37" s="10"/>
      <c r="P37" s="10"/>
      <c r="Q37" s="10"/>
      <c r="R37" s="10"/>
      <c r="S37" s="10"/>
      <c r="T37" s="10">
        <v>0</v>
      </c>
      <c r="U37" s="10">
        <v>0</v>
      </c>
      <c r="V37" s="10">
        <v>1</v>
      </c>
      <c r="W37" s="10">
        <v>1</v>
      </c>
      <c r="X37" s="10"/>
      <c r="Y37" s="10">
        <v>8</v>
      </c>
      <c r="Z37" s="10" t="s">
        <v>80</v>
      </c>
      <c r="AA37" s="10">
        <v>1</v>
      </c>
      <c r="AB37" s="10" t="s">
        <v>9</v>
      </c>
      <c r="AC37" s="10">
        <v>0</v>
      </c>
      <c r="AD37" s="10">
        <v>0</v>
      </c>
      <c r="AE37" s="12">
        <v>0</v>
      </c>
    </row>
    <row r="38" spans="6:31" x14ac:dyDescent="0.35">
      <c r="F38" s="9">
        <v>9</v>
      </c>
      <c r="G38" s="10" t="s">
        <v>72</v>
      </c>
      <c r="H38" s="10">
        <v>1</v>
      </c>
      <c r="I38" s="10">
        <v>13.8</v>
      </c>
      <c r="J38" s="10">
        <v>1.05453</v>
      </c>
      <c r="K38" s="10">
        <v>14.553000000000001</v>
      </c>
      <c r="L38" s="10">
        <v>-35.71</v>
      </c>
      <c r="M38" s="10"/>
      <c r="N38" s="10"/>
      <c r="O38" s="10">
        <v>29.5</v>
      </c>
      <c r="P38" s="10">
        <v>16.600000000000001</v>
      </c>
      <c r="Q38" s="10">
        <v>0</v>
      </c>
      <c r="R38" s="10">
        <v>0</v>
      </c>
      <c r="S38" s="10">
        <v>21.13</v>
      </c>
      <c r="T38" s="10">
        <v>0</v>
      </c>
      <c r="U38" s="10">
        <v>0</v>
      </c>
      <c r="V38" s="10">
        <v>1</v>
      </c>
      <c r="W38" s="10">
        <v>1</v>
      </c>
      <c r="X38" s="10"/>
      <c r="Y38" s="10">
        <v>9</v>
      </c>
      <c r="Z38" s="10" t="s">
        <v>72</v>
      </c>
      <c r="AA38" s="10">
        <v>1</v>
      </c>
      <c r="AB38" s="10" t="s">
        <v>11</v>
      </c>
      <c r="AC38" s="10">
        <v>0</v>
      </c>
      <c r="AD38" s="10">
        <v>0</v>
      </c>
      <c r="AE38" s="12">
        <v>0</v>
      </c>
    </row>
    <row r="39" spans="6:31" x14ac:dyDescent="0.35">
      <c r="F39" s="9">
        <v>10</v>
      </c>
      <c r="G39" s="10" t="s">
        <v>75</v>
      </c>
      <c r="H39" s="10">
        <v>1</v>
      </c>
      <c r="I39" s="10">
        <v>13.8</v>
      </c>
      <c r="J39" s="10">
        <v>1.0498499999999999</v>
      </c>
      <c r="K39" s="10">
        <v>14.488</v>
      </c>
      <c r="L39" s="10">
        <v>-35.89</v>
      </c>
      <c r="M39" s="10"/>
      <c r="N39" s="10"/>
      <c r="O39" s="10">
        <v>9</v>
      </c>
      <c r="P39" s="10">
        <v>5.8</v>
      </c>
      <c r="Q39" s="10">
        <v>0</v>
      </c>
      <c r="R39" s="10">
        <v>0</v>
      </c>
      <c r="S39" s="10"/>
      <c r="T39" s="10">
        <v>0</v>
      </c>
      <c r="U39" s="10">
        <v>0</v>
      </c>
      <c r="V39" s="10">
        <v>1</v>
      </c>
      <c r="W39" s="10">
        <v>1</v>
      </c>
      <c r="X39" s="10"/>
      <c r="Y39" s="10">
        <v>10</v>
      </c>
      <c r="Z39" s="10" t="s">
        <v>75</v>
      </c>
      <c r="AA39" s="10">
        <v>1</v>
      </c>
      <c r="AB39" s="10" t="s">
        <v>11</v>
      </c>
      <c r="AC39" s="10">
        <v>0</v>
      </c>
      <c r="AD39" s="10">
        <v>0</v>
      </c>
      <c r="AE39" s="12">
        <v>0</v>
      </c>
    </row>
    <row r="40" spans="6:31" x14ac:dyDescent="0.35">
      <c r="F40" s="9">
        <v>11</v>
      </c>
      <c r="G40" s="10" t="s">
        <v>82</v>
      </c>
      <c r="H40" s="10">
        <v>1</v>
      </c>
      <c r="I40" s="10">
        <v>13.8</v>
      </c>
      <c r="J40" s="10">
        <v>1.0563499999999999</v>
      </c>
      <c r="K40" s="10">
        <v>14.577999999999999</v>
      </c>
      <c r="L40" s="10">
        <v>-35.64</v>
      </c>
      <c r="M40" s="10"/>
      <c r="N40" s="10"/>
      <c r="O40" s="10">
        <v>3.5</v>
      </c>
      <c r="P40" s="10">
        <v>1.8</v>
      </c>
      <c r="Q40" s="10">
        <v>0</v>
      </c>
      <c r="R40" s="10">
        <v>0</v>
      </c>
      <c r="S40" s="10"/>
      <c r="T40" s="10">
        <v>0</v>
      </c>
      <c r="U40" s="10">
        <v>0</v>
      </c>
      <c r="V40" s="10">
        <v>1</v>
      </c>
      <c r="W40" s="10">
        <v>1</v>
      </c>
      <c r="X40" s="10"/>
      <c r="Y40" s="10">
        <v>11</v>
      </c>
      <c r="Z40" s="10" t="s">
        <v>82</v>
      </c>
      <c r="AA40" s="10">
        <v>1</v>
      </c>
      <c r="AB40" s="10" t="s">
        <v>11</v>
      </c>
      <c r="AC40" s="10">
        <v>0</v>
      </c>
      <c r="AD40" s="10">
        <v>0</v>
      </c>
      <c r="AE40" s="12">
        <v>0</v>
      </c>
    </row>
    <row r="41" spans="6:31" x14ac:dyDescent="0.35">
      <c r="F41" s="9">
        <v>12</v>
      </c>
      <c r="G41" s="10" t="s">
        <v>76</v>
      </c>
      <c r="H41" s="10">
        <v>1</v>
      </c>
      <c r="I41" s="10">
        <v>13.8</v>
      </c>
      <c r="J41" s="10">
        <v>1.0550600000000001</v>
      </c>
      <c r="K41" s="10">
        <v>14.56</v>
      </c>
      <c r="L41" s="10">
        <v>-35.979999999999997</v>
      </c>
      <c r="M41" s="10"/>
      <c r="N41" s="10"/>
      <c r="O41" s="10">
        <v>6.1</v>
      </c>
      <c r="P41" s="10">
        <v>1.6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1</v>
      </c>
      <c r="W41" s="10">
        <v>1</v>
      </c>
      <c r="X41" s="10"/>
      <c r="Y41" s="10">
        <v>12</v>
      </c>
      <c r="Z41" s="10" t="s">
        <v>76</v>
      </c>
      <c r="AA41" s="10">
        <v>1</v>
      </c>
      <c r="AB41" s="10" t="s">
        <v>11</v>
      </c>
      <c r="AC41" s="10">
        <v>0</v>
      </c>
      <c r="AD41" s="10">
        <v>0</v>
      </c>
      <c r="AE41" s="12">
        <v>0</v>
      </c>
    </row>
    <row r="42" spans="6:31" x14ac:dyDescent="0.35">
      <c r="F42" s="9">
        <v>13</v>
      </c>
      <c r="G42" s="10" t="s">
        <v>78</v>
      </c>
      <c r="H42" s="10">
        <v>1</v>
      </c>
      <c r="I42" s="10">
        <v>13.8</v>
      </c>
      <c r="J42" s="10">
        <v>1.0502</v>
      </c>
      <c r="K42" s="10">
        <v>14.493</v>
      </c>
      <c r="L42" s="10">
        <v>-36.049999999999997</v>
      </c>
      <c r="M42" s="10"/>
      <c r="N42" s="10"/>
      <c r="O42" s="10">
        <v>13.5</v>
      </c>
      <c r="P42" s="10">
        <v>5.8</v>
      </c>
      <c r="Q42" s="10">
        <v>0</v>
      </c>
      <c r="R42" s="10">
        <v>0</v>
      </c>
      <c r="S42" s="10"/>
      <c r="T42" s="10">
        <v>0</v>
      </c>
      <c r="U42" s="10">
        <v>0</v>
      </c>
      <c r="V42" s="10">
        <v>1</v>
      </c>
      <c r="W42" s="10">
        <v>1</v>
      </c>
      <c r="X42" s="10"/>
      <c r="Y42" s="10">
        <v>13</v>
      </c>
      <c r="Z42" s="10" t="s">
        <v>78</v>
      </c>
      <c r="AA42" s="10">
        <v>1</v>
      </c>
      <c r="AB42" s="10" t="s">
        <v>11</v>
      </c>
      <c r="AC42" s="10">
        <v>0</v>
      </c>
      <c r="AD42" s="10">
        <v>0</v>
      </c>
      <c r="AE42" s="12">
        <v>0</v>
      </c>
    </row>
    <row r="43" spans="6:31" ht="15" thickBot="1" x14ac:dyDescent="0.4">
      <c r="F43" s="13">
        <v>14</v>
      </c>
      <c r="G43" s="14" t="s">
        <v>81</v>
      </c>
      <c r="H43" s="14">
        <v>1</v>
      </c>
      <c r="I43" s="14">
        <v>13.8</v>
      </c>
      <c r="J43" s="14">
        <v>1.0346500000000001</v>
      </c>
      <c r="K43" s="14">
        <v>14.278</v>
      </c>
      <c r="L43" s="14">
        <v>-36.86</v>
      </c>
      <c r="M43" s="14"/>
      <c r="N43" s="14"/>
      <c r="O43" s="14">
        <v>14.9</v>
      </c>
      <c r="P43" s="14">
        <v>5</v>
      </c>
      <c r="Q43" s="14">
        <v>0</v>
      </c>
      <c r="R43" s="14">
        <v>0</v>
      </c>
      <c r="S43" s="14"/>
      <c r="T43" s="14">
        <v>0</v>
      </c>
      <c r="U43" s="14">
        <v>0</v>
      </c>
      <c r="V43" s="14">
        <v>1</v>
      </c>
      <c r="W43" s="14">
        <v>1</v>
      </c>
      <c r="X43" s="14"/>
      <c r="Y43" s="14">
        <v>14</v>
      </c>
      <c r="Z43" s="14" t="s">
        <v>81</v>
      </c>
      <c r="AA43" s="14">
        <v>1</v>
      </c>
      <c r="AB43" s="14" t="s">
        <v>11</v>
      </c>
      <c r="AC43" s="14">
        <v>0</v>
      </c>
      <c r="AD43" s="14">
        <v>0</v>
      </c>
      <c r="AE43" s="15">
        <v>0</v>
      </c>
    </row>
    <row r="46" spans="6:31" ht="15" thickBot="1" x14ac:dyDescent="0.4"/>
    <row r="47" spans="6:31" x14ac:dyDescent="0.35">
      <c r="F47" s="6" t="s">
        <v>103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8"/>
    </row>
    <row r="48" spans="6:31" x14ac:dyDescent="0.35">
      <c r="F48" s="9" t="s">
        <v>8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 t="s">
        <v>8</v>
      </c>
      <c r="S48" s="10"/>
      <c r="T48" s="10"/>
      <c r="U48" s="10"/>
      <c r="V48" s="10"/>
      <c r="W48" s="12"/>
    </row>
    <row r="49" spans="6:23" x14ac:dyDescent="0.35">
      <c r="F49" s="9" t="s">
        <v>64</v>
      </c>
      <c r="G49" s="10" t="s">
        <v>65</v>
      </c>
      <c r="H49" s="10" t="s">
        <v>66</v>
      </c>
      <c r="I49" s="10" t="s">
        <v>85</v>
      </c>
      <c r="J49" s="10" t="s">
        <v>86</v>
      </c>
      <c r="K49" s="10" t="s">
        <v>87</v>
      </c>
      <c r="L49" s="10" t="s">
        <v>88</v>
      </c>
      <c r="M49" s="10" t="s">
        <v>89</v>
      </c>
      <c r="N49" s="10" t="s">
        <v>90</v>
      </c>
      <c r="O49" s="10" t="s">
        <v>91</v>
      </c>
      <c r="P49" s="10" t="s">
        <v>92</v>
      </c>
      <c r="Q49" s="10"/>
      <c r="R49" s="10" t="s">
        <v>64</v>
      </c>
      <c r="S49" s="10" t="s">
        <v>65</v>
      </c>
      <c r="T49" s="10" t="s">
        <v>66</v>
      </c>
      <c r="U49" s="10" t="s">
        <v>1</v>
      </c>
      <c r="V49" s="10" t="s">
        <v>67</v>
      </c>
      <c r="W49" s="12"/>
    </row>
    <row r="50" spans="6:23" x14ac:dyDescent="0.35">
      <c r="F50" s="9">
        <v>1</v>
      </c>
      <c r="G50" s="10" t="s">
        <v>83</v>
      </c>
      <c r="H50" s="10">
        <v>1</v>
      </c>
      <c r="I50" s="10">
        <v>69</v>
      </c>
      <c r="J50" s="10">
        <v>-20.69</v>
      </c>
      <c r="K50" s="10">
        <v>154</v>
      </c>
      <c r="L50" s="10"/>
      <c r="M50" s="10"/>
      <c r="N50" s="10">
        <v>0</v>
      </c>
      <c r="O50" s="10">
        <v>1</v>
      </c>
      <c r="P50" s="10">
        <v>1</v>
      </c>
      <c r="Q50" s="10"/>
      <c r="R50" s="10">
        <v>1</v>
      </c>
      <c r="S50" s="10" t="s">
        <v>83</v>
      </c>
      <c r="T50" s="10">
        <v>1</v>
      </c>
      <c r="U50" s="10" t="s">
        <v>84</v>
      </c>
      <c r="V50" s="10">
        <v>0</v>
      </c>
      <c r="W50" s="12"/>
    </row>
    <row r="51" spans="6:23" x14ac:dyDescent="0.35">
      <c r="F51" s="9">
        <v>2</v>
      </c>
      <c r="G51" s="10" t="s">
        <v>74</v>
      </c>
      <c r="H51" s="10">
        <v>1</v>
      </c>
      <c r="I51" s="10">
        <v>69</v>
      </c>
      <c r="J51" s="10">
        <v>-24.06</v>
      </c>
      <c r="K51" s="10">
        <v>40</v>
      </c>
      <c r="L51" s="10">
        <v>21.7</v>
      </c>
      <c r="M51" s="10">
        <v>0</v>
      </c>
      <c r="N51" s="10">
        <v>0</v>
      </c>
      <c r="O51" s="10">
        <v>1</v>
      </c>
      <c r="P51" s="10">
        <v>1</v>
      </c>
      <c r="Q51" s="10"/>
      <c r="R51" s="10">
        <v>2</v>
      </c>
      <c r="S51" s="10" t="s">
        <v>74</v>
      </c>
      <c r="T51" s="10">
        <v>1</v>
      </c>
      <c r="U51" s="10" t="s">
        <v>9</v>
      </c>
      <c r="V51" s="10">
        <v>0</v>
      </c>
      <c r="W51" s="12"/>
    </row>
    <row r="52" spans="6:23" x14ac:dyDescent="0.35">
      <c r="F52" s="9">
        <v>3</v>
      </c>
      <c r="G52" s="10" t="s">
        <v>77</v>
      </c>
      <c r="H52" s="10">
        <v>1</v>
      </c>
      <c r="I52" s="10">
        <v>69</v>
      </c>
      <c r="J52" s="10">
        <v>-28.07</v>
      </c>
      <c r="K52" s="10">
        <v>65</v>
      </c>
      <c r="L52" s="10">
        <v>94.2</v>
      </c>
      <c r="M52" s="10">
        <v>0</v>
      </c>
      <c r="N52" s="10">
        <v>0</v>
      </c>
      <c r="O52" s="10">
        <v>1</v>
      </c>
      <c r="P52" s="10">
        <v>1</v>
      </c>
      <c r="Q52" s="10"/>
      <c r="R52" s="10">
        <v>3</v>
      </c>
      <c r="S52" s="10" t="s">
        <v>77</v>
      </c>
      <c r="T52" s="10">
        <v>1</v>
      </c>
      <c r="U52" s="10" t="s">
        <v>9</v>
      </c>
      <c r="V52" s="10">
        <v>0</v>
      </c>
      <c r="W52" s="12"/>
    </row>
    <row r="53" spans="6:23" x14ac:dyDescent="0.35">
      <c r="F53" s="9">
        <v>4</v>
      </c>
      <c r="G53" s="10" t="s">
        <v>70</v>
      </c>
      <c r="H53" s="10">
        <v>1</v>
      </c>
      <c r="I53" s="10">
        <v>69</v>
      </c>
      <c r="J53" s="10">
        <v>-28.68</v>
      </c>
      <c r="K53" s="10"/>
      <c r="L53" s="10">
        <v>47.8</v>
      </c>
      <c r="M53" s="10">
        <v>0</v>
      </c>
      <c r="N53" s="10">
        <v>0</v>
      </c>
      <c r="O53" s="10">
        <v>1</v>
      </c>
      <c r="P53" s="10">
        <v>1</v>
      </c>
      <c r="Q53" s="10"/>
      <c r="R53" s="10">
        <v>4</v>
      </c>
      <c r="S53" s="10" t="s">
        <v>70</v>
      </c>
      <c r="T53" s="10">
        <v>1</v>
      </c>
      <c r="U53" s="10" t="s">
        <v>11</v>
      </c>
      <c r="V53" s="10">
        <v>0</v>
      </c>
      <c r="W53" s="12"/>
    </row>
    <row r="54" spans="6:23" x14ac:dyDescent="0.35">
      <c r="F54" s="9">
        <v>5</v>
      </c>
      <c r="G54" s="10" t="s">
        <v>79</v>
      </c>
      <c r="H54" s="10">
        <v>1</v>
      </c>
      <c r="I54" s="10">
        <v>69</v>
      </c>
      <c r="J54" s="10">
        <v>-27.68</v>
      </c>
      <c r="K54" s="10"/>
      <c r="L54" s="10">
        <v>7.6</v>
      </c>
      <c r="M54" s="10">
        <v>0</v>
      </c>
      <c r="N54" s="10">
        <v>0</v>
      </c>
      <c r="O54" s="10">
        <v>1</v>
      </c>
      <c r="P54" s="10">
        <v>1</v>
      </c>
      <c r="Q54" s="10"/>
      <c r="R54" s="10">
        <v>5</v>
      </c>
      <c r="S54" s="10" t="s">
        <v>79</v>
      </c>
      <c r="T54" s="10">
        <v>1</v>
      </c>
      <c r="U54" s="10" t="s">
        <v>11</v>
      </c>
      <c r="V54" s="10">
        <v>0</v>
      </c>
      <c r="W54" s="12"/>
    </row>
    <row r="55" spans="6:23" x14ac:dyDescent="0.35">
      <c r="F55" s="9">
        <v>6</v>
      </c>
      <c r="G55" s="10" t="s">
        <v>71</v>
      </c>
      <c r="H55" s="10">
        <v>1</v>
      </c>
      <c r="I55" s="10">
        <v>13.8</v>
      </c>
      <c r="J55" s="10">
        <v>-35.770000000000003</v>
      </c>
      <c r="K55" s="10">
        <v>0</v>
      </c>
      <c r="L55" s="10">
        <v>11.2</v>
      </c>
      <c r="M55" s="10">
        <v>0</v>
      </c>
      <c r="N55" s="10">
        <v>0</v>
      </c>
      <c r="O55" s="10">
        <v>1</v>
      </c>
      <c r="P55" s="10">
        <v>1</v>
      </c>
      <c r="Q55" s="10"/>
      <c r="R55" s="10">
        <v>6</v>
      </c>
      <c r="S55" s="10" t="s">
        <v>71</v>
      </c>
      <c r="T55" s="10">
        <v>1</v>
      </c>
      <c r="U55" s="10" t="s">
        <v>9</v>
      </c>
      <c r="V55" s="10">
        <v>0</v>
      </c>
      <c r="W55" s="12"/>
    </row>
    <row r="56" spans="6:23" x14ac:dyDescent="0.35">
      <c r="F56" s="9">
        <v>7</v>
      </c>
      <c r="G56" s="10" t="s">
        <v>73</v>
      </c>
      <c r="H56" s="10">
        <v>1</v>
      </c>
      <c r="I56" s="10">
        <v>13.8</v>
      </c>
      <c r="J56" s="10">
        <v>-35.19</v>
      </c>
      <c r="K56" s="10"/>
      <c r="L56" s="10">
        <v>0</v>
      </c>
      <c r="M56" s="10">
        <v>0</v>
      </c>
      <c r="N56" s="10">
        <v>0</v>
      </c>
      <c r="O56" s="10">
        <v>1</v>
      </c>
      <c r="P56" s="10">
        <v>1</v>
      </c>
      <c r="Q56" s="10"/>
      <c r="R56" s="10">
        <v>7</v>
      </c>
      <c r="S56" s="10" t="s">
        <v>73</v>
      </c>
      <c r="T56" s="10">
        <v>1</v>
      </c>
      <c r="U56" s="10" t="s">
        <v>11</v>
      </c>
      <c r="V56" s="10">
        <v>0</v>
      </c>
      <c r="W56" s="12"/>
    </row>
    <row r="57" spans="6:23" x14ac:dyDescent="0.35">
      <c r="F57" s="9">
        <v>8</v>
      </c>
      <c r="G57" s="10" t="s">
        <v>80</v>
      </c>
      <c r="H57" s="10">
        <v>1</v>
      </c>
      <c r="I57" s="10">
        <v>18</v>
      </c>
      <c r="J57" s="10">
        <v>-35.19</v>
      </c>
      <c r="K57" s="10">
        <v>0</v>
      </c>
      <c r="L57" s="10"/>
      <c r="M57" s="10"/>
      <c r="N57" s="10">
        <v>0</v>
      </c>
      <c r="O57" s="10">
        <v>1</v>
      </c>
      <c r="P57" s="10">
        <v>1</v>
      </c>
      <c r="Q57" s="10"/>
      <c r="R57" s="10">
        <v>8</v>
      </c>
      <c r="S57" s="10" t="s">
        <v>80</v>
      </c>
      <c r="T57" s="10">
        <v>1</v>
      </c>
      <c r="U57" s="10" t="s">
        <v>9</v>
      </c>
      <c r="V57" s="10">
        <v>0</v>
      </c>
      <c r="W57" s="12"/>
    </row>
    <row r="58" spans="6:23" x14ac:dyDescent="0.35">
      <c r="F58" s="9">
        <v>9</v>
      </c>
      <c r="G58" s="10" t="s">
        <v>72</v>
      </c>
      <c r="H58" s="10">
        <v>1</v>
      </c>
      <c r="I58" s="10">
        <v>13.8</v>
      </c>
      <c r="J58" s="10">
        <v>-36.51</v>
      </c>
      <c r="K58" s="10"/>
      <c r="L58" s="10">
        <v>29.5</v>
      </c>
      <c r="M58" s="10">
        <v>0</v>
      </c>
      <c r="N58" s="10">
        <v>0</v>
      </c>
      <c r="O58" s="10">
        <v>1</v>
      </c>
      <c r="P58" s="10">
        <v>1</v>
      </c>
      <c r="Q58" s="10"/>
      <c r="R58" s="10">
        <v>9</v>
      </c>
      <c r="S58" s="10" t="s">
        <v>72</v>
      </c>
      <c r="T58" s="10">
        <v>1</v>
      </c>
      <c r="U58" s="10" t="s">
        <v>11</v>
      </c>
      <c r="V58" s="10">
        <v>0</v>
      </c>
      <c r="W58" s="12"/>
    </row>
    <row r="59" spans="6:23" x14ac:dyDescent="0.35">
      <c r="F59" s="9">
        <v>10</v>
      </c>
      <c r="G59" s="10" t="s">
        <v>75</v>
      </c>
      <c r="H59" s="10">
        <v>1</v>
      </c>
      <c r="I59" s="10">
        <v>13.8</v>
      </c>
      <c r="J59" s="10">
        <v>-36.81</v>
      </c>
      <c r="K59" s="10"/>
      <c r="L59" s="10">
        <v>9</v>
      </c>
      <c r="M59" s="10">
        <v>0</v>
      </c>
      <c r="N59" s="10">
        <v>0</v>
      </c>
      <c r="O59" s="10">
        <v>1</v>
      </c>
      <c r="P59" s="10">
        <v>1</v>
      </c>
      <c r="Q59" s="10"/>
      <c r="R59" s="10">
        <v>10</v>
      </c>
      <c r="S59" s="10" t="s">
        <v>75</v>
      </c>
      <c r="T59" s="10">
        <v>1</v>
      </c>
      <c r="U59" s="10" t="s">
        <v>11</v>
      </c>
      <c r="V59" s="10">
        <v>0</v>
      </c>
      <c r="W59" s="12"/>
    </row>
    <row r="60" spans="6:23" x14ac:dyDescent="0.35">
      <c r="F60" s="9">
        <v>11</v>
      </c>
      <c r="G60" s="10" t="s">
        <v>82</v>
      </c>
      <c r="H60" s="10">
        <v>1</v>
      </c>
      <c r="I60" s="10">
        <v>13.8</v>
      </c>
      <c r="J60" s="10">
        <v>-36.49</v>
      </c>
      <c r="K60" s="10"/>
      <c r="L60" s="10">
        <v>3.5</v>
      </c>
      <c r="M60" s="10">
        <v>0</v>
      </c>
      <c r="N60" s="10">
        <v>0</v>
      </c>
      <c r="O60" s="10">
        <v>1</v>
      </c>
      <c r="P60" s="10">
        <v>1</v>
      </c>
      <c r="Q60" s="10"/>
      <c r="R60" s="10">
        <v>11</v>
      </c>
      <c r="S60" s="10" t="s">
        <v>82</v>
      </c>
      <c r="T60" s="10">
        <v>1</v>
      </c>
      <c r="U60" s="10" t="s">
        <v>11</v>
      </c>
      <c r="V60" s="10">
        <v>0</v>
      </c>
      <c r="W60" s="12"/>
    </row>
    <row r="61" spans="6:23" x14ac:dyDescent="0.35">
      <c r="F61" s="9">
        <v>12</v>
      </c>
      <c r="G61" s="10" t="s">
        <v>76</v>
      </c>
      <c r="H61" s="10">
        <v>1</v>
      </c>
      <c r="I61" s="10">
        <v>13.8</v>
      </c>
      <c r="J61" s="10">
        <v>-36.880000000000003</v>
      </c>
      <c r="K61" s="10"/>
      <c r="L61" s="10">
        <v>6.1</v>
      </c>
      <c r="M61" s="10">
        <v>0</v>
      </c>
      <c r="N61" s="10">
        <v>0</v>
      </c>
      <c r="O61" s="10">
        <v>1</v>
      </c>
      <c r="P61" s="10">
        <v>1</v>
      </c>
      <c r="Q61" s="10"/>
      <c r="R61" s="10">
        <v>12</v>
      </c>
      <c r="S61" s="10" t="s">
        <v>76</v>
      </c>
      <c r="T61" s="10">
        <v>1</v>
      </c>
      <c r="U61" s="10" t="s">
        <v>11</v>
      </c>
      <c r="V61" s="10">
        <v>0</v>
      </c>
      <c r="W61" s="12"/>
    </row>
    <row r="62" spans="6:23" x14ac:dyDescent="0.35">
      <c r="F62" s="9">
        <v>13</v>
      </c>
      <c r="G62" s="10" t="s">
        <v>78</v>
      </c>
      <c r="H62" s="10">
        <v>1</v>
      </c>
      <c r="I62" s="10">
        <v>13.8</v>
      </c>
      <c r="J62" s="10">
        <v>-37.04</v>
      </c>
      <c r="K62" s="10"/>
      <c r="L62" s="10">
        <v>13.5</v>
      </c>
      <c r="M62" s="10">
        <v>0</v>
      </c>
      <c r="N62" s="10">
        <v>0</v>
      </c>
      <c r="O62" s="10">
        <v>1</v>
      </c>
      <c r="P62" s="10">
        <v>1</v>
      </c>
      <c r="Q62" s="10"/>
      <c r="R62" s="10">
        <v>13</v>
      </c>
      <c r="S62" s="10" t="s">
        <v>78</v>
      </c>
      <c r="T62" s="10">
        <v>1</v>
      </c>
      <c r="U62" s="10" t="s">
        <v>11</v>
      </c>
      <c r="V62" s="10">
        <v>0</v>
      </c>
      <c r="W62" s="12"/>
    </row>
    <row r="63" spans="6:23" x14ac:dyDescent="0.35">
      <c r="F63" s="9">
        <v>14</v>
      </c>
      <c r="G63" s="10" t="s">
        <v>81</v>
      </c>
      <c r="H63" s="10">
        <v>1</v>
      </c>
      <c r="I63" s="10">
        <v>13.8</v>
      </c>
      <c r="J63" s="10">
        <v>-38.04</v>
      </c>
      <c r="K63" s="10"/>
      <c r="L63" s="10">
        <v>14.9</v>
      </c>
      <c r="M63" s="10">
        <v>0</v>
      </c>
      <c r="N63" s="10">
        <v>0</v>
      </c>
      <c r="O63" s="10">
        <v>1</v>
      </c>
      <c r="P63" s="10">
        <v>1</v>
      </c>
      <c r="Q63" s="10"/>
      <c r="R63" s="10">
        <v>14</v>
      </c>
      <c r="S63" s="10" t="s">
        <v>81</v>
      </c>
      <c r="T63" s="10">
        <v>1</v>
      </c>
      <c r="U63" s="10" t="s">
        <v>11</v>
      </c>
      <c r="V63" s="10">
        <v>0</v>
      </c>
      <c r="W63" s="12"/>
    </row>
    <row r="64" spans="6:23" ht="15" thickBot="1" x14ac:dyDescent="0.4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5"/>
    </row>
    <row r="66" spans="5:32" ht="15" thickBot="1" x14ac:dyDescent="0.4"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5:32" x14ac:dyDescent="0.35">
      <c r="E67" s="10"/>
      <c r="F67" s="6" t="s">
        <v>104</v>
      </c>
      <c r="G67" s="7"/>
      <c r="H67" s="16" t="s">
        <v>111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8"/>
      <c r="AF67" s="10"/>
    </row>
    <row r="68" spans="5:32" x14ac:dyDescent="0.35">
      <c r="E68" s="10"/>
      <c r="F68" s="9" t="s">
        <v>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 t="s">
        <v>8</v>
      </c>
      <c r="Z68" s="10"/>
      <c r="AA68" s="10"/>
      <c r="AB68" s="10"/>
      <c r="AC68" s="10"/>
      <c r="AD68" s="10"/>
      <c r="AE68" s="12"/>
      <c r="AF68" s="10"/>
    </row>
    <row r="69" spans="5:32" x14ac:dyDescent="0.35">
      <c r="E69" s="10"/>
      <c r="F69" s="9" t="s">
        <v>64</v>
      </c>
      <c r="G69" s="10" t="s">
        <v>65</v>
      </c>
      <c r="H69" s="10" t="s">
        <v>66</v>
      </c>
      <c r="I69" s="10" t="s">
        <v>85</v>
      </c>
      <c r="J69" s="10" t="s">
        <v>93</v>
      </c>
      <c r="K69" s="10" t="s">
        <v>94</v>
      </c>
      <c r="L69" s="10" t="s">
        <v>86</v>
      </c>
      <c r="M69" s="10" t="s">
        <v>87</v>
      </c>
      <c r="N69" s="10" t="s">
        <v>95</v>
      </c>
      <c r="O69" s="10" t="s">
        <v>88</v>
      </c>
      <c r="P69" s="10" t="s">
        <v>96</v>
      </c>
      <c r="Q69" s="10" t="s">
        <v>89</v>
      </c>
      <c r="R69" s="10" t="s">
        <v>97</v>
      </c>
      <c r="S69" s="10" t="s">
        <v>98</v>
      </c>
      <c r="T69" s="10" t="s">
        <v>90</v>
      </c>
      <c r="U69" s="10" t="s">
        <v>99</v>
      </c>
      <c r="V69" s="10" t="s">
        <v>91</v>
      </c>
      <c r="W69" s="10" t="s">
        <v>92</v>
      </c>
      <c r="X69" s="10"/>
      <c r="Y69" s="10" t="s">
        <v>64</v>
      </c>
      <c r="Z69" s="10" t="s">
        <v>65</v>
      </c>
      <c r="AA69" s="10" t="s">
        <v>66</v>
      </c>
      <c r="AB69" s="10" t="s">
        <v>1</v>
      </c>
      <c r="AC69" s="10" t="s">
        <v>67</v>
      </c>
      <c r="AD69" s="10" t="s">
        <v>68</v>
      </c>
      <c r="AE69" s="12" t="s">
        <v>69</v>
      </c>
      <c r="AF69" s="10"/>
    </row>
    <row r="70" spans="5:32" x14ac:dyDescent="0.35">
      <c r="E70" s="10"/>
      <c r="F70" s="9">
        <v>1</v>
      </c>
      <c r="G70" s="10" t="s">
        <v>83</v>
      </c>
      <c r="H70" s="10">
        <v>1</v>
      </c>
      <c r="I70" s="10">
        <v>69</v>
      </c>
      <c r="J70" s="10">
        <v>1.06</v>
      </c>
      <c r="K70" s="10">
        <v>73.14</v>
      </c>
      <c r="L70" s="10">
        <v>-20.69</v>
      </c>
      <c r="M70" s="10">
        <v>-5.7</v>
      </c>
      <c r="N70" s="10">
        <v>39.340000000000003</v>
      </c>
      <c r="O70" s="10"/>
      <c r="P70" s="10"/>
      <c r="Q70" s="10"/>
      <c r="R70" s="10"/>
      <c r="S70" s="10"/>
      <c r="T70" s="10">
        <v>0</v>
      </c>
      <c r="U70" s="10">
        <v>0</v>
      </c>
      <c r="V70" s="10">
        <v>1</v>
      </c>
      <c r="W70" s="10">
        <v>1</v>
      </c>
      <c r="X70" s="10"/>
      <c r="Y70" s="10">
        <v>1</v>
      </c>
      <c r="Z70" s="10" t="s">
        <v>83</v>
      </c>
      <c r="AA70" s="10">
        <v>1</v>
      </c>
      <c r="AB70" s="10" t="s">
        <v>84</v>
      </c>
      <c r="AC70" s="10">
        <v>0</v>
      </c>
      <c r="AD70" s="10">
        <v>0</v>
      </c>
      <c r="AE70" s="12">
        <v>0</v>
      </c>
      <c r="AF70" s="10"/>
    </row>
    <row r="71" spans="5:32" x14ac:dyDescent="0.35">
      <c r="E71" s="10"/>
      <c r="F71" s="9">
        <v>2</v>
      </c>
      <c r="G71" s="10" t="s">
        <v>74</v>
      </c>
      <c r="H71" s="10">
        <v>1</v>
      </c>
      <c r="I71" s="10">
        <v>69</v>
      </c>
      <c r="J71" s="10">
        <v>1.0449999999999999</v>
      </c>
      <c r="K71" s="10">
        <v>72.105000000000004</v>
      </c>
      <c r="L71" s="10">
        <v>-20.13</v>
      </c>
      <c r="M71" s="10">
        <v>40</v>
      </c>
      <c r="N71" s="10">
        <v>17.98</v>
      </c>
      <c r="O71" s="10">
        <v>21.7</v>
      </c>
      <c r="P71" s="10">
        <v>12.7</v>
      </c>
      <c r="Q71" s="10">
        <v>0</v>
      </c>
      <c r="R71" s="10">
        <v>0</v>
      </c>
      <c r="S71" s="10"/>
      <c r="T71" s="10">
        <v>0</v>
      </c>
      <c r="U71" s="10">
        <v>0</v>
      </c>
      <c r="V71" s="10">
        <v>1</v>
      </c>
      <c r="W71" s="10">
        <v>1</v>
      </c>
      <c r="X71" s="10"/>
      <c r="Y71" s="10">
        <v>2</v>
      </c>
      <c r="Z71" s="10" t="s">
        <v>74</v>
      </c>
      <c r="AA71" s="10">
        <v>1</v>
      </c>
      <c r="AB71" s="10" t="s">
        <v>9</v>
      </c>
      <c r="AC71" s="10">
        <v>-19.87</v>
      </c>
      <c r="AD71" s="10">
        <v>0</v>
      </c>
      <c r="AE71" s="12">
        <v>19.87</v>
      </c>
      <c r="AF71" s="10"/>
    </row>
    <row r="72" spans="5:32" x14ac:dyDescent="0.35">
      <c r="E72" s="10"/>
      <c r="F72" s="9">
        <v>3</v>
      </c>
      <c r="G72" s="10" t="s">
        <v>77</v>
      </c>
      <c r="H72" s="10">
        <v>1</v>
      </c>
      <c r="I72" s="10">
        <v>69</v>
      </c>
      <c r="J72" s="10">
        <v>1.01</v>
      </c>
      <c r="K72" s="10">
        <v>69.69</v>
      </c>
      <c r="L72" s="10">
        <v>-20.92</v>
      </c>
      <c r="M72" s="10">
        <v>65</v>
      </c>
      <c r="N72" s="10">
        <v>3.87</v>
      </c>
      <c r="O72" s="10">
        <v>94.2</v>
      </c>
      <c r="P72" s="10">
        <v>19</v>
      </c>
      <c r="Q72" s="10">
        <v>0</v>
      </c>
      <c r="R72" s="10">
        <v>0</v>
      </c>
      <c r="S72" s="10"/>
      <c r="T72" s="10">
        <v>0</v>
      </c>
      <c r="U72" s="10">
        <v>0</v>
      </c>
      <c r="V72" s="10">
        <v>1</v>
      </c>
      <c r="W72" s="10">
        <v>1</v>
      </c>
      <c r="X72" s="10"/>
      <c r="Y72" s="10">
        <v>3</v>
      </c>
      <c r="Z72" s="10" t="s">
        <v>77</v>
      </c>
      <c r="AA72" s="10">
        <v>1</v>
      </c>
      <c r="AB72" s="10" t="s">
        <v>9</v>
      </c>
      <c r="AC72" s="10">
        <v>-15.04</v>
      </c>
      <c r="AD72" s="10">
        <v>0</v>
      </c>
      <c r="AE72" s="12">
        <v>15.04</v>
      </c>
      <c r="AF72" s="10"/>
    </row>
    <row r="73" spans="5:32" x14ac:dyDescent="0.35">
      <c r="E73" s="10"/>
      <c r="F73" s="9">
        <v>4</v>
      </c>
      <c r="G73" s="10" t="s">
        <v>70</v>
      </c>
      <c r="H73" s="10">
        <v>1</v>
      </c>
      <c r="I73" s="10">
        <v>69</v>
      </c>
      <c r="J73" s="10">
        <v>1.00712</v>
      </c>
      <c r="K73" s="10">
        <v>69.491</v>
      </c>
      <c r="L73" s="10">
        <v>-20.51</v>
      </c>
      <c r="M73" s="10"/>
      <c r="N73" s="10"/>
      <c r="O73" s="10">
        <v>47.8</v>
      </c>
      <c r="P73" s="10">
        <v>-3.9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1</v>
      </c>
      <c r="W73" s="10">
        <v>1</v>
      </c>
      <c r="X73" s="10"/>
      <c r="Y73" s="10">
        <v>4</v>
      </c>
      <c r="Z73" s="10" t="s">
        <v>70</v>
      </c>
      <c r="AA73" s="10">
        <v>1</v>
      </c>
      <c r="AB73" s="10" t="s">
        <v>11</v>
      </c>
      <c r="AC73" s="10">
        <v>-10.18</v>
      </c>
      <c r="AD73" s="10">
        <v>81.819999999999993</v>
      </c>
      <c r="AE73" s="12">
        <v>82.45</v>
      </c>
      <c r="AF73" s="10"/>
    </row>
    <row r="74" spans="5:32" x14ac:dyDescent="0.35">
      <c r="E74" s="10"/>
      <c r="F74" s="9">
        <v>5</v>
      </c>
      <c r="G74" s="10" t="s">
        <v>79</v>
      </c>
      <c r="H74" s="10">
        <v>1</v>
      </c>
      <c r="I74" s="10">
        <v>69</v>
      </c>
      <c r="J74" s="10">
        <v>1.0263599999999999</v>
      </c>
      <c r="K74" s="10">
        <v>70.819000000000003</v>
      </c>
      <c r="L74" s="10">
        <v>-20.6</v>
      </c>
      <c r="M74" s="10"/>
      <c r="N74" s="10"/>
      <c r="O74" s="10">
        <v>7.6</v>
      </c>
      <c r="P74" s="10">
        <v>1.6</v>
      </c>
      <c r="Q74" s="10">
        <v>0</v>
      </c>
      <c r="R74" s="10">
        <v>0</v>
      </c>
      <c r="S74" s="10"/>
      <c r="T74" s="10">
        <v>0</v>
      </c>
      <c r="U74" s="10">
        <v>0</v>
      </c>
      <c r="V74" s="10">
        <v>1</v>
      </c>
      <c r="W74" s="10">
        <v>1</v>
      </c>
      <c r="X74" s="10"/>
      <c r="Y74" s="10">
        <v>5</v>
      </c>
      <c r="Z74" s="10" t="s">
        <v>79</v>
      </c>
      <c r="AA74" s="10">
        <v>1</v>
      </c>
      <c r="AB74" s="10" t="s">
        <v>11</v>
      </c>
      <c r="AC74" s="10">
        <v>-2.16</v>
      </c>
      <c r="AD74" s="10">
        <v>0.03</v>
      </c>
      <c r="AE74" s="12">
        <v>2.16</v>
      </c>
      <c r="AF74" s="10"/>
    </row>
    <row r="75" spans="5:32" x14ac:dyDescent="0.35">
      <c r="E75" s="10"/>
      <c r="F75" s="9">
        <v>6</v>
      </c>
      <c r="G75" s="10" t="s">
        <v>71</v>
      </c>
      <c r="H75" s="10">
        <v>1</v>
      </c>
      <c r="I75" s="10">
        <v>13.8</v>
      </c>
      <c r="J75" s="10">
        <v>1.07</v>
      </c>
      <c r="K75" s="10">
        <v>14.766</v>
      </c>
      <c r="L75" s="10">
        <v>-21.97</v>
      </c>
      <c r="M75" s="10">
        <v>0</v>
      </c>
      <c r="N75" s="10">
        <v>78.72</v>
      </c>
      <c r="O75" s="10">
        <v>11.2</v>
      </c>
      <c r="P75" s="10">
        <v>7.5</v>
      </c>
      <c r="Q75" s="10">
        <v>0</v>
      </c>
      <c r="R75" s="10">
        <v>0</v>
      </c>
      <c r="S75" s="10"/>
      <c r="T75" s="10">
        <v>0</v>
      </c>
      <c r="U75" s="10">
        <v>0</v>
      </c>
      <c r="V75" s="10">
        <v>1</v>
      </c>
      <c r="W75" s="10">
        <v>1</v>
      </c>
      <c r="X75" s="10"/>
      <c r="Y75" s="10">
        <v>6</v>
      </c>
      <c r="Z75" s="10" t="s">
        <v>71</v>
      </c>
      <c r="AA75" s="10">
        <v>1</v>
      </c>
      <c r="AB75" s="10" t="s">
        <v>9</v>
      </c>
      <c r="AC75" s="10">
        <v>-45.32</v>
      </c>
      <c r="AD75" s="10">
        <v>0</v>
      </c>
      <c r="AE75" s="12">
        <v>45.32</v>
      </c>
      <c r="AF75" s="10"/>
    </row>
    <row r="76" spans="5:32" x14ac:dyDescent="0.35">
      <c r="E76" s="10"/>
      <c r="F76" s="9">
        <v>7</v>
      </c>
      <c r="G76" s="10" t="s">
        <v>73</v>
      </c>
      <c r="H76" s="10">
        <v>1</v>
      </c>
      <c r="I76" s="10">
        <v>13.8</v>
      </c>
      <c r="J76" s="10">
        <v>1.0314700000000001</v>
      </c>
      <c r="K76" s="10">
        <v>14.234</v>
      </c>
      <c r="L76" s="10">
        <v>-21.6</v>
      </c>
      <c r="M76" s="10"/>
      <c r="N76" s="10"/>
      <c r="O76" s="10">
        <v>0</v>
      </c>
      <c r="P76" s="10">
        <v>0</v>
      </c>
      <c r="Q76" s="10">
        <v>0</v>
      </c>
      <c r="R76" s="10">
        <v>0</v>
      </c>
      <c r="S76" s="10"/>
      <c r="T76" s="10">
        <v>0</v>
      </c>
      <c r="U76" s="10">
        <v>0</v>
      </c>
      <c r="V76" s="10">
        <v>1</v>
      </c>
      <c r="W76" s="10">
        <v>1</v>
      </c>
      <c r="X76" s="10"/>
      <c r="Y76" s="10">
        <v>7</v>
      </c>
      <c r="Z76" s="10" t="s">
        <v>73</v>
      </c>
      <c r="AA76" s="10">
        <v>1</v>
      </c>
      <c r="AB76" s="10" t="s">
        <v>11</v>
      </c>
      <c r="AC76" s="10">
        <v>-28.34</v>
      </c>
      <c r="AD76" s="10">
        <v>8.6</v>
      </c>
      <c r="AE76" s="12">
        <v>29.62</v>
      </c>
      <c r="AF76" s="10"/>
    </row>
    <row r="77" spans="5:32" x14ac:dyDescent="0.35">
      <c r="E77" s="10"/>
      <c r="F77" s="9">
        <v>8</v>
      </c>
      <c r="G77" s="10" t="s">
        <v>80</v>
      </c>
      <c r="H77" s="10">
        <v>1</v>
      </c>
      <c r="I77" s="10">
        <v>18</v>
      </c>
      <c r="J77" s="10">
        <v>1.0900000000000001</v>
      </c>
      <c r="K77" s="10">
        <v>19.62</v>
      </c>
      <c r="L77" s="10">
        <v>-21.56</v>
      </c>
      <c r="M77" s="10">
        <v>0</v>
      </c>
      <c r="N77" s="10">
        <v>45.32</v>
      </c>
      <c r="O77" s="10"/>
      <c r="P77" s="10"/>
      <c r="Q77" s="10"/>
      <c r="R77" s="10"/>
      <c r="S77" s="10"/>
      <c r="T77" s="10">
        <v>0</v>
      </c>
      <c r="U77" s="10">
        <v>0</v>
      </c>
      <c r="V77" s="10">
        <v>1</v>
      </c>
      <c r="W77" s="10">
        <v>1</v>
      </c>
      <c r="X77" s="10"/>
      <c r="Y77" s="10">
        <v>8</v>
      </c>
      <c r="Z77" s="10" t="s">
        <v>80</v>
      </c>
      <c r="AA77" s="10">
        <v>1</v>
      </c>
      <c r="AB77" s="10" t="s">
        <v>9</v>
      </c>
      <c r="AC77" s="10">
        <v>-0.46</v>
      </c>
      <c r="AD77" s="10">
        <v>0</v>
      </c>
      <c r="AE77" s="12">
        <v>0.46</v>
      </c>
      <c r="AF77" s="10"/>
    </row>
    <row r="78" spans="5:32" x14ac:dyDescent="0.35">
      <c r="E78" s="10"/>
      <c r="F78" s="9">
        <v>9</v>
      </c>
      <c r="G78" s="10" t="s">
        <v>72</v>
      </c>
      <c r="H78" s="10">
        <v>1</v>
      </c>
      <c r="I78" s="10">
        <v>13.8</v>
      </c>
      <c r="J78" s="10">
        <v>1.0089699999999999</v>
      </c>
      <c r="K78" s="10">
        <v>13.923999999999999</v>
      </c>
      <c r="L78" s="10">
        <v>-21.82</v>
      </c>
      <c r="M78" s="10"/>
      <c r="N78" s="10"/>
      <c r="O78" s="10">
        <v>29.5</v>
      </c>
      <c r="P78" s="10">
        <v>16.600000000000001</v>
      </c>
      <c r="Q78" s="10">
        <v>0</v>
      </c>
      <c r="R78" s="10">
        <v>0</v>
      </c>
      <c r="S78" s="10">
        <v>19.34</v>
      </c>
      <c r="T78" s="10">
        <v>0</v>
      </c>
      <c r="U78" s="10">
        <v>0</v>
      </c>
      <c r="V78" s="10">
        <v>1</v>
      </c>
      <c r="W78" s="10">
        <v>1</v>
      </c>
      <c r="X78" s="10"/>
      <c r="Y78" s="10">
        <v>9</v>
      </c>
      <c r="Z78" s="10" t="s">
        <v>72</v>
      </c>
      <c r="AA78" s="10">
        <v>1</v>
      </c>
      <c r="AB78" s="10" t="s">
        <v>11</v>
      </c>
      <c r="AC78" s="10">
        <v>-30.58</v>
      </c>
      <c r="AD78" s="10">
        <v>14.33</v>
      </c>
      <c r="AE78" s="12">
        <v>33.770000000000003</v>
      </c>
      <c r="AF78" s="10"/>
    </row>
    <row r="79" spans="5:32" x14ac:dyDescent="0.35">
      <c r="E79" s="10"/>
      <c r="F79" s="9">
        <v>10</v>
      </c>
      <c r="G79" s="10" t="s">
        <v>75</v>
      </c>
      <c r="H79" s="10">
        <v>1</v>
      </c>
      <c r="I79" s="10">
        <v>13.8</v>
      </c>
      <c r="J79" s="10">
        <v>1.0005599999999999</v>
      </c>
      <c r="K79" s="10">
        <v>13.808</v>
      </c>
      <c r="L79" s="10">
        <v>-21.71</v>
      </c>
      <c r="M79" s="10"/>
      <c r="N79" s="10"/>
      <c r="O79" s="10">
        <v>9</v>
      </c>
      <c r="P79" s="10">
        <v>5.8</v>
      </c>
      <c r="Q79" s="10">
        <v>0</v>
      </c>
      <c r="R79" s="10">
        <v>0</v>
      </c>
      <c r="S79" s="10"/>
      <c r="T79" s="10">
        <v>0</v>
      </c>
      <c r="U79" s="10">
        <v>0</v>
      </c>
      <c r="V79" s="10">
        <v>1</v>
      </c>
      <c r="W79" s="10">
        <v>1</v>
      </c>
      <c r="X79" s="10"/>
      <c r="Y79" s="10">
        <v>10</v>
      </c>
      <c r="Z79" s="10" t="s">
        <v>75</v>
      </c>
      <c r="AA79" s="10">
        <v>1</v>
      </c>
      <c r="AB79" s="10" t="s">
        <v>11</v>
      </c>
      <c r="AC79" s="10">
        <v>-3.8</v>
      </c>
      <c r="AD79" s="10">
        <v>17.95</v>
      </c>
      <c r="AE79" s="12">
        <v>18.350000000000001</v>
      </c>
      <c r="AF79" s="10"/>
    </row>
    <row r="80" spans="5:32" x14ac:dyDescent="0.35">
      <c r="E80" s="10"/>
      <c r="F80" s="9">
        <v>11</v>
      </c>
      <c r="G80" s="10" t="s">
        <v>82</v>
      </c>
      <c r="H80" s="10">
        <v>1</v>
      </c>
      <c r="I80" s="10">
        <v>13.8</v>
      </c>
      <c r="J80" s="10">
        <v>1.0311900000000001</v>
      </c>
      <c r="K80" s="10">
        <v>14.23</v>
      </c>
      <c r="L80" s="10">
        <v>-21.94</v>
      </c>
      <c r="M80" s="10"/>
      <c r="N80" s="10"/>
      <c r="O80" s="10">
        <v>3.5</v>
      </c>
      <c r="P80" s="10">
        <v>1.8</v>
      </c>
      <c r="Q80" s="10">
        <v>0</v>
      </c>
      <c r="R80" s="10">
        <v>0</v>
      </c>
      <c r="S80" s="10"/>
      <c r="T80" s="10">
        <v>0</v>
      </c>
      <c r="U80" s="10">
        <v>0</v>
      </c>
      <c r="V80" s="10">
        <v>1</v>
      </c>
      <c r="W80" s="10">
        <v>1</v>
      </c>
      <c r="X80" s="10"/>
      <c r="Y80" s="10">
        <v>11</v>
      </c>
      <c r="Z80" s="10" t="s">
        <v>82</v>
      </c>
      <c r="AA80" s="10">
        <v>1</v>
      </c>
      <c r="AB80" s="10" t="s">
        <v>11</v>
      </c>
      <c r="AC80" s="10">
        <v>0</v>
      </c>
      <c r="AD80" s="10">
        <v>0</v>
      </c>
      <c r="AE80" s="12">
        <v>0</v>
      </c>
      <c r="AF80" s="10"/>
    </row>
    <row r="81" spans="5:32" x14ac:dyDescent="0.35">
      <c r="E81" s="10"/>
      <c r="F81" s="9">
        <v>12</v>
      </c>
      <c r="G81" s="10" t="s">
        <v>76</v>
      </c>
      <c r="H81" s="10">
        <v>1</v>
      </c>
      <c r="I81" s="10">
        <v>13.8</v>
      </c>
      <c r="J81" s="10">
        <v>1.0264599999999999</v>
      </c>
      <c r="K81" s="10">
        <v>14.164999999999999</v>
      </c>
      <c r="L81" s="10">
        <v>-22.07</v>
      </c>
      <c r="M81" s="10"/>
      <c r="N81" s="10"/>
      <c r="O81" s="10">
        <v>6.1</v>
      </c>
      <c r="P81" s="10">
        <v>1.6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1</v>
      </c>
      <c r="W81" s="10">
        <v>1</v>
      </c>
      <c r="X81" s="10"/>
      <c r="Y81" s="10">
        <v>12</v>
      </c>
      <c r="Z81" s="10" t="s">
        <v>76</v>
      </c>
      <c r="AA81" s="10">
        <v>1</v>
      </c>
      <c r="AB81" s="10" t="s">
        <v>11</v>
      </c>
      <c r="AC81" s="10">
        <v>3.19</v>
      </c>
      <c r="AD81" s="10">
        <v>15.04</v>
      </c>
      <c r="AE81" s="12">
        <v>15.38</v>
      </c>
      <c r="AF81" s="10"/>
    </row>
    <row r="82" spans="5:32" x14ac:dyDescent="0.35">
      <c r="E82" s="10"/>
      <c r="F82" s="9">
        <v>13</v>
      </c>
      <c r="G82" s="10" t="s">
        <v>78</v>
      </c>
      <c r="H82" s="10">
        <v>1</v>
      </c>
      <c r="I82" s="10">
        <v>13.8</v>
      </c>
      <c r="J82" s="10">
        <v>1.0358700000000001</v>
      </c>
      <c r="K82" s="10">
        <v>14.295</v>
      </c>
      <c r="L82" s="10">
        <v>-22.18</v>
      </c>
      <c r="M82" s="10"/>
      <c r="N82" s="10"/>
      <c r="O82" s="10">
        <v>13.5</v>
      </c>
      <c r="P82" s="10">
        <v>5.8</v>
      </c>
      <c r="Q82" s="10">
        <v>0</v>
      </c>
      <c r="R82" s="10">
        <v>0</v>
      </c>
      <c r="S82" s="10"/>
      <c r="T82" s="10">
        <v>0</v>
      </c>
      <c r="U82" s="10">
        <v>0</v>
      </c>
      <c r="V82" s="10">
        <v>1</v>
      </c>
      <c r="W82" s="10">
        <v>1</v>
      </c>
      <c r="X82" s="10"/>
      <c r="Y82" s="10">
        <v>13</v>
      </c>
      <c r="Z82" s="10" t="s">
        <v>78</v>
      </c>
      <c r="AA82" s="10">
        <v>1</v>
      </c>
      <c r="AB82" s="10" t="s">
        <v>11</v>
      </c>
      <c r="AC82" s="10">
        <v>-9.57</v>
      </c>
      <c r="AD82" s="10">
        <v>5.39</v>
      </c>
      <c r="AE82" s="12">
        <v>10.98</v>
      </c>
      <c r="AF82" s="10"/>
    </row>
    <row r="83" spans="5:32" x14ac:dyDescent="0.35">
      <c r="E83" s="10"/>
      <c r="F83" s="9">
        <v>14</v>
      </c>
      <c r="G83" s="10" t="s">
        <v>81</v>
      </c>
      <c r="H83" s="10">
        <v>1</v>
      </c>
      <c r="I83" s="10">
        <v>13.8</v>
      </c>
      <c r="J83" s="10">
        <v>1.0020899999999999</v>
      </c>
      <c r="K83" s="10">
        <v>13.829000000000001</v>
      </c>
      <c r="L83" s="10">
        <v>-23.04</v>
      </c>
      <c r="M83" s="10"/>
      <c r="N83" s="10"/>
      <c r="O83" s="10">
        <v>14.9</v>
      </c>
      <c r="P83" s="10">
        <v>5</v>
      </c>
      <c r="Q83" s="10">
        <v>0</v>
      </c>
      <c r="R83" s="10">
        <v>0</v>
      </c>
      <c r="S83" s="10"/>
      <c r="T83" s="10">
        <v>0</v>
      </c>
      <c r="U83" s="10">
        <v>0</v>
      </c>
      <c r="V83" s="10">
        <v>1</v>
      </c>
      <c r="W83" s="10">
        <v>1</v>
      </c>
      <c r="X83" s="10"/>
      <c r="Y83" s="10">
        <v>14</v>
      </c>
      <c r="Z83" s="10" t="s">
        <v>81</v>
      </c>
      <c r="AA83" s="10">
        <v>1</v>
      </c>
      <c r="AB83" s="10" t="s">
        <v>11</v>
      </c>
      <c r="AC83" s="10">
        <v>-0.02</v>
      </c>
      <c r="AD83" s="10">
        <v>0.01</v>
      </c>
      <c r="AE83" s="12">
        <v>0.02</v>
      </c>
      <c r="AF83" s="10"/>
    </row>
    <row r="84" spans="5:32" x14ac:dyDescent="0.35">
      <c r="E84" s="10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2"/>
      <c r="AF84" s="10"/>
    </row>
    <row r="85" spans="5:32" x14ac:dyDescent="0.35">
      <c r="E85" s="10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2"/>
      <c r="AF85" s="10"/>
    </row>
    <row r="86" spans="5:32" x14ac:dyDescent="0.35">
      <c r="E86" s="10"/>
      <c r="F86" s="9" t="s">
        <v>105</v>
      </c>
      <c r="G86" s="10"/>
      <c r="H86" s="11" t="s">
        <v>106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2"/>
      <c r="AF86" s="10"/>
    </row>
    <row r="87" spans="5:32" x14ac:dyDescent="0.35">
      <c r="E87" s="10"/>
      <c r="F87" s="9" t="s">
        <v>8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 t="s">
        <v>8</v>
      </c>
      <c r="Z87" s="10"/>
      <c r="AA87" s="10"/>
      <c r="AB87" s="10"/>
      <c r="AC87" s="10"/>
      <c r="AD87" s="10"/>
      <c r="AE87" s="12"/>
      <c r="AF87" s="10"/>
    </row>
    <row r="88" spans="5:32" x14ac:dyDescent="0.35">
      <c r="E88" s="10"/>
      <c r="F88" s="9" t="s">
        <v>64</v>
      </c>
      <c r="G88" s="10" t="s">
        <v>65</v>
      </c>
      <c r="H88" s="10" t="s">
        <v>66</v>
      </c>
      <c r="I88" s="10" t="s">
        <v>85</v>
      </c>
      <c r="J88" s="10" t="s">
        <v>93</v>
      </c>
      <c r="K88" s="10" t="s">
        <v>94</v>
      </c>
      <c r="L88" s="10" t="s">
        <v>86</v>
      </c>
      <c r="M88" s="10" t="s">
        <v>87</v>
      </c>
      <c r="N88" s="10" t="s">
        <v>95</v>
      </c>
      <c r="O88" s="10" t="s">
        <v>88</v>
      </c>
      <c r="P88" s="10" t="s">
        <v>96</v>
      </c>
      <c r="Q88" s="10" t="s">
        <v>89</v>
      </c>
      <c r="R88" s="10" t="s">
        <v>97</v>
      </c>
      <c r="S88" s="10" t="s">
        <v>98</v>
      </c>
      <c r="T88" s="10" t="s">
        <v>90</v>
      </c>
      <c r="U88" s="10" t="s">
        <v>99</v>
      </c>
      <c r="V88" s="10" t="s">
        <v>91</v>
      </c>
      <c r="W88" s="10" t="s">
        <v>92</v>
      </c>
      <c r="X88" s="10"/>
      <c r="Y88" s="10" t="s">
        <v>64</v>
      </c>
      <c r="Z88" s="10" t="s">
        <v>65</v>
      </c>
      <c r="AA88" s="10" t="s">
        <v>66</v>
      </c>
      <c r="AB88" s="10" t="s">
        <v>1</v>
      </c>
      <c r="AC88" s="10" t="s">
        <v>67</v>
      </c>
      <c r="AD88" s="10" t="s">
        <v>68</v>
      </c>
      <c r="AE88" s="12" t="s">
        <v>69</v>
      </c>
      <c r="AF88" s="10"/>
    </row>
    <row r="89" spans="5:32" x14ac:dyDescent="0.35">
      <c r="E89" s="10"/>
      <c r="F89" s="9">
        <v>1</v>
      </c>
      <c r="G89" s="10" t="s">
        <v>83</v>
      </c>
      <c r="H89" s="10">
        <v>1</v>
      </c>
      <c r="I89" s="10">
        <v>69</v>
      </c>
      <c r="J89" s="10">
        <v>1.06</v>
      </c>
      <c r="K89" s="10">
        <v>73.14</v>
      </c>
      <c r="L89" s="10">
        <v>-20.69</v>
      </c>
      <c r="M89" s="10">
        <v>157.99</v>
      </c>
      <c r="N89" s="10">
        <v>-8.7100000000000009</v>
      </c>
      <c r="O89" s="10"/>
      <c r="P89" s="10"/>
      <c r="Q89" s="10"/>
      <c r="R89" s="10"/>
      <c r="S89" s="10"/>
      <c r="T89" s="10">
        <v>0</v>
      </c>
      <c r="U89" s="10">
        <v>0</v>
      </c>
      <c r="V89" s="10">
        <v>1</v>
      </c>
      <c r="W89" s="10">
        <v>1</v>
      </c>
      <c r="X89" s="10"/>
      <c r="Y89" s="10">
        <v>1</v>
      </c>
      <c r="Z89" s="10" t="s">
        <v>83</v>
      </c>
      <c r="AA89" s="10">
        <v>1</v>
      </c>
      <c r="AB89" s="10" t="s">
        <v>84</v>
      </c>
      <c r="AC89" s="10">
        <v>0</v>
      </c>
      <c r="AD89" s="10">
        <v>0</v>
      </c>
      <c r="AE89" s="12">
        <v>0</v>
      </c>
      <c r="AF89" s="10"/>
    </row>
    <row r="90" spans="5:32" x14ac:dyDescent="0.35">
      <c r="E90" s="10"/>
      <c r="F90" s="9">
        <v>2</v>
      </c>
      <c r="G90" s="10" t="s">
        <v>74</v>
      </c>
      <c r="H90" s="10">
        <v>1</v>
      </c>
      <c r="I90" s="10">
        <v>69</v>
      </c>
      <c r="J90" s="10">
        <v>1.0449999999999999</v>
      </c>
      <c r="K90" s="10">
        <v>72.105000000000004</v>
      </c>
      <c r="L90" s="10">
        <v>-23.81</v>
      </c>
      <c r="M90" s="10">
        <v>40</v>
      </c>
      <c r="N90" s="10">
        <v>12.17</v>
      </c>
      <c r="O90" s="10">
        <v>21.7</v>
      </c>
      <c r="P90" s="10">
        <v>12.7</v>
      </c>
      <c r="Q90" s="10">
        <v>0</v>
      </c>
      <c r="R90" s="10">
        <v>0</v>
      </c>
      <c r="S90" s="10"/>
      <c r="T90" s="10">
        <v>0</v>
      </c>
      <c r="U90" s="10">
        <v>0</v>
      </c>
      <c r="V90" s="10">
        <v>1</v>
      </c>
      <c r="W90" s="10">
        <v>1</v>
      </c>
      <c r="X90" s="10"/>
      <c r="Y90" s="10">
        <v>2</v>
      </c>
      <c r="Z90" s="10" t="s">
        <v>74</v>
      </c>
      <c r="AA90" s="10">
        <v>1</v>
      </c>
      <c r="AB90" s="10" t="s">
        <v>9</v>
      </c>
      <c r="AC90" s="10">
        <v>-0.49</v>
      </c>
      <c r="AD90" s="10">
        <v>0</v>
      </c>
      <c r="AE90" s="12">
        <v>0.49</v>
      </c>
      <c r="AF90" s="10"/>
    </row>
    <row r="91" spans="5:32" x14ac:dyDescent="0.35">
      <c r="E91" s="10"/>
      <c r="F91" s="9">
        <v>3</v>
      </c>
      <c r="G91" s="10" t="s">
        <v>77</v>
      </c>
      <c r="H91" s="10">
        <v>1</v>
      </c>
      <c r="I91" s="10">
        <v>69</v>
      </c>
      <c r="J91" s="10">
        <v>1.01</v>
      </c>
      <c r="K91" s="10">
        <v>69.69</v>
      </c>
      <c r="L91" s="10">
        <v>-27.37</v>
      </c>
      <c r="M91" s="10">
        <v>65</v>
      </c>
      <c r="N91" s="10">
        <v>-6.66</v>
      </c>
      <c r="O91" s="10">
        <v>94.2</v>
      </c>
      <c r="P91" s="10">
        <v>19</v>
      </c>
      <c r="Q91" s="10">
        <v>0</v>
      </c>
      <c r="R91" s="10">
        <v>0</v>
      </c>
      <c r="S91" s="10"/>
      <c r="T91" s="10">
        <v>0</v>
      </c>
      <c r="U91" s="10">
        <v>0</v>
      </c>
      <c r="V91" s="10">
        <v>1</v>
      </c>
      <c r="W91" s="10">
        <v>1</v>
      </c>
      <c r="X91" s="10"/>
      <c r="Y91" s="10">
        <v>3</v>
      </c>
      <c r="Z91" s="10" t="s">
        <v>77</v>
      </c>
      <c r="AA91" s="10">
        <v>1</v>
      </c>
      <c r="AB91" s="10" t="s">
        <v>9</v>
      </c>
      <c r="AC91" s="10">
        <v>1.95</v>
      </c>
      <c r="AD91" s="10">
        <v>0</v>
      </c>
      <c r="AE91" s="12">
        <v>1.95</v>
      </c>
      <c r="AF91" s="10"/>
    </row>
    <row r="92" spans="5:32" x14ac:dyDescent="0.35">
      <c r="E92" s="10"/>
      <c r="F92" s="9">
        <v>4</v>
      </c>
      <c r="G92" s="10" t="s">
        <v>70</v>
      </c>
      <c r="H92" s="10">
        <v>1</v>
      </c>
      <c r="I92" s="10">
        <v>69</v>
      </c>
      <c r="J92" s="10">
        <v>1.0316799999999999</v>
      </c>
      <c r="K92" s="10">
        <v>71.186000000000007</v>
      </c>
      <c r="L92" s="10">
        <v>-28.27</v>
      </c>
      <c r="M92" s="10"/>
      <c r="N92" s="10"/>
      <c r="O92" s="10">
        <v>47.8</v>
      </c>
      <c r="P92" s="10">
        <v>-3.9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1</v>
      </c>
      <c r="W92" s="10">
        <v>1</v>
      </c>
      <c r="X92" s="10"/>
      <c r="Y92" s="10">
        <v>4</v>
      </c>
      <c r="Z92" s="10" t="s">
        <v>70</v>
      </c>
      <c r="AA92" s="10">
        <v>1</v>
      </c>
      <c r="AB92" s="10" t="s">
        <v>11</v>
      </c>
      <c r="AC92" s="10">
        <v>-0.97</v>
      </c>
      <c r="AD92" s="10">
        <v>0.08</v>
      </c>
      <c r="AE92" s="12">
        <v>0.97</v>
      </c>
      <c r="AF92" s="10"/>
    </row>
    <row r="93" spans="5:32" x14ac:dyDescent="0.35">
      <c r="E93" s="10"/>
      <c r="F93" s="9">
        <v>5</v>
      </c>
      <c r="G93" s="10" t="s">
        <v>79</v>
      </c>
      <c r="H93" s="10">
        <v>1</v>
      </c>
      <c r="I93" s="10">
        <v>69</v>
      </c>
      <c r="J93" s="10">
        <v>1.03701</v>
      </c>
      <c r="K93" s="10">
        <v>71.554000000000002</v>
      </c>
      <c r="L93" s="10">
        <v>-27.34</v>
      </c>
      <c r="M93" s="10"/>
      <c r="N93" s="10"/>
      <c r="O93" s="10">
        <v>7.6</v>
      </c>
      <c r="P93" s="10">
        <v>1.6</v>
      </c>
      <c r="Q93" s="10">
        <v>0</v>
      </c>
      <c r="R93" s="10">
        <v>0</v>
      </c>
      <c r="S93" s="10"/>
      <c r="T93" s="10">
        <v>0</v>
      </c>
      <c r="U93" s="10">
        <v>0</v>
      </c>
      <c r="V93" s="10">
        <v>1</v>
      </c>
      <c r="W93" s="10">
        <v>1</v>
      </c>
      <c r="X93" s="10"/>
      <c r="Y93" s="10">
        <v>5</v>
      </c>
      <c r="Z93" s="10" t="s">
        <v>79</v>
      </c>
      <c r="AA93" s="10">
        <v>1</v>
      </c>
      <c r="AB93" s="10" t="s">
        <v>11</v>
      </c>
      <c r="AC93" s="10">
        <v>-0.21</v>
      </c>
      <c r="AD93" s="10">
        <v>-0.02</v>
      </c>
      <c r="AE93" s="12">
        <v>0.21</v>
      </c>
      <c r="AF93" s="10"/>
    </row>
    <row r="94" spans="5:32" x14ac:dyDescent="0.35">
      <c r="E94" s="10"/>
      <c r="F94" s="9">
        <v>6</v>
      </c>
      <c r="G94" s="10" t="s">
        <v>71</v>
      </c>
      <c r="H94" s="10">
        <v>1</v>
      </c>
      <c r="I94" s="10">
        <v>13.8</v>
      </c>
      <c r="J94" s="10">
        <v>1.07</v>
      </c>
      <c r="K94" s="10">
        <v>14.766</v>
      </c>
      <c r="L94" s="10">
        <v>-34.85</v>
      </c>
      <c r="M94" s="10">
        <v>0</v>
      </c>
      <c r="N94" s="10">
        <v>38.1</v>
      </c>
      <c r="O94" s="10">
        <v>11.2</v>
      </c>
      <c r="P94" s="10">
        <v>7.5</v>
      </c>
      <c r="Q94" s="10">
        <v>0</v>
      </c>
      <c r="R94" s="10">
        <v>0</v>
      </c>
      <c r="S94" s="10"/>
      <c r="T94" s="10">
        <v>0</v>
      </c>
      <c r="U94" s="10">
        <v>0</v>
      </c>
      <c r="V94" s="10">
        <v>1</v>
      </c>
      <c r="W94" s="10">
        <v>1</v>
      </c>
      <c r="X94" s="10"/>
      <c r="Y94" s="10">
        <v>6</v>
      </c>
      <c r="Z94" s="10" t="s">
        <v>71</v>
      </c>
      <c r="AA94" s="10">
        <v>1</v>
      </c>
      <c r="AB94" s="10" t="s">
        <v>9</v>
      </c>
      <c r="AC94" s="10">
        <v>-0.9</v>
      </c>
      <c r="AD94" s="10">
        <v>0</v>
      </c>
      <c r="AE94" s="12">
        <v>0.9</v>
      </c>
      <c r="AF94" s="10"/>
    </row>
    <row r="95" spans="5:32" x14ac:dyDescent="0.35">
      <c r="E95" s="10"/>
      <c r="F95" s="9">
        <v>7</v>
      </c>
      <c r="G95" s="10" t="s">
        <v>73</v>
      </c>
      <c r="H95" s="10">
        <v>1</v>
      </c>
      <c r="I95" s="10">
        <v>13.8</v>
      </c>
      <c r="J95" s="10">
        <v>1.06263</v>
      </c>
      <c r="K95" s="10">
        <v>14.664</v>
      </c>
      <c r="L95" s="10">
        <v>-34.31</v>
      </c>
      <c r="M95" s="10"/>
      <c r="N95" s="10"/>
      <c r="O95" s="10">
        <v>0</v>
      </c>
      <c r="P95" s="10">
        <v>0</v>
      </c>
      <c r="Q95" s="10">
        <v>0</v>
      </c>
      <c r="R95" s="10">
        <v>0</v>
      </c>
      <c r="S95" s="10"/>
      <c r="T95" s="10">
        <v>0</v>
      </c>
      <c r="U95" s="10">
        <v>0</v>
      </c>
      <c r="V95" s="10">
        <v>1</v>
      </c>
      <c r="W95" s="10">
        <v>1</v>
      </c>
      <c r="X95" s="10"/>
      <c r="Y95" s="10">
        <v>7</v>
      </c>
      <c r="Z95" s="10" t="s">
        <v>73</v>
      </c>
      <c r="AA95" s="10">
        <v>1</v>
      </c>
      <c r="AB95" s="10" t="s">
        <v>11</v>
      </c>
      <c r="AC95" s="10">
        <v>-0.82</v>
      </c>
      <c r="AD95" s="10">
        <v>-0.01</v>
      </c>
      <c r="AE95" s="12">
        <v>0.82</v>
      </c>
      <c r="AF95" s="10"/>
    </row>
    <row r="96" spans="5:32" x14ac:dyDescent="0.35">
      <c r="E96" s="10"/>
      <c r="F96" s="9">
        <v>8</v>
      </c>
      <c r="G96" s="10" t="s">
        <v>80</v>
      </c>
      <c r="H96" s="10">
        <v>1</v>
      </c>
      <c r="I96" s="10">
        <v>18</v>
      </c>
      <c r="J96" s="10">
        <v>1.0900000000000001</v>
      </c>
      <c r="K96" s="10">
        <v>19.62</v>
      </c>
      <c r="L96" s="10">
        <v>-34.31</v>
      </c>
      <c r="M96" s="10">
        <v>0</v>
      </c>
      <c r="N96" s="10">
        <v>25.79</v>
      </c>
      <c r="O96" s="10"/>
      <c r="P96" s="10"/>
      <c r="Q96" s="10"/>
      <c r="R96" s="10"/>
      <c r="S96" s="10"/>
      <c r="T96" s="10">
        <v>0</v>
      </c>
      <c r="U96" s="10">
        <v>0</v>
      </c>
      <c r="V96" s="10">
        <v>1</v>
      </c>
      <c r="W96" s="10">
        <v>1</v>
      </c>
      <c r="X96" s="10"/>
      <c r="Y96" s="10">
        <v>8</v>
      </c>
      <c r="Z96" s="10" t="s">
        <v>80</v>
      </c>
      <c r="AA96" s="10">
        <v>1</v>
      </c>
      <c r="AB96" s="10" t="s">
        <v>9</v>
      </c>
      <c r="AC96" s="10">
        <v>-0.01</v>
      </c>
      <c r="AD96" s="10">
        <v>0</v>
      </c>
      <c r="AE96" s="12">
        <v>0.01</v>
      </c>
      <c r="AF96" s="10"/>
    </row>
    <row r="97" spans="5:32" x14ac:dyDescent="0.35">
      <c r="E97" s="10"/>
      <c r="F97" s="9">
        <v>9</v>
      </c>
      <c r="G97" s="10" t="s">
        <v>72</v>
      </c>
      <c r="H97" s="10">
        <v>1</v>
      </c>
      <c r="I97" s="10">
        <v>13.8</v>
      </c>
      <c r="J97" s="10">
        <v>1.0537399999999999</v>
      </c>
      <c r="K97" s="10">
        <v>14.542</v>
      </c>
      <c r="L97" s="10">
        <v>-35.409999999999997</v>
      </c>
      <c r="M97" s="10"/>
      <c r="N97" s="10"/>
      <c r="O97" s="10">
        <v>29.5</v>
      </c>
      <c r="P97" s="10">
        <v>16.600000000000001</v>
      </c>
      <c r="Q97" s="10">
        <v>0</v>
      </c>
      <c r="R97" s="10">
        <v>0</v>
      </c>
      <c r="S97" s="10">
        <v>21.1</v>
      </c>
      <c r="T97" s="10">
        <v>0</v>
      </c>
      <c r="U97" s="10">
        <v>0</v>
      </c>
      <c r="V97" s="10">
        <v>1</v>
      </c>
      <c r="W97" s="10">
        <v>1</v>
      </c>
      <c r="X97" s="10"/>
      <c r="Y97" s="10">
        <v>9</v>
      </c>
      <c r="Z97" s="10" t="s">
        <v>72</v>
      </c>
      <c r="AA97" s="10">
        <v>1</v>
      </c>
      <c r="AB97" s="10" t="s">
        <v>11</v>
      </c>
      <c r="AC97" s="10">
        <v>-0.74</v>
      </c>
      <c r="AD97" s="10">
        <v>0.28999999999999998</v>
      </c>
      <c r="AE97" s="12">
        <v>0.8</v>
      </c>
      <c r="AF97" s="10"/>
    </row>
    <row r="98" spans="5:32" x14ac:dyDescent="0.35">
      <c r="E98" s="10"/>
      <c r="F98" s="9">
        <v>10</v>
      </c>
      <c r="G98" s="10" t="s">
        <v>75</v>
      </c>
      <c r="H98" s="10">
        <v>1</v>
      </c>
      <c r="I98" s="10">
        <v>13.8</v>
      </c>
      <c r="J98" s="10">
        <v>1.0491900000000001</v>
      </c>
      <c r="K98" s="10">
        <v>14.478999999999999</v>
      </c>
      <c r="L98" s="10">
        <v>-35.590000000000003</v>
      </c>
      <c r="M98" s="10"/>
      <c r="N98" s="10"/>
      <c r="O98" s="10">
        <v>9</v>
      </c>
      <c r="P98" s="10">
        <v>5.8</v>
      </c>
      <c r="Q98" s="10">
        <v>0</v>
      </c>
      <c r="R98" s="10">
        <v>0</v>
      </c>
      <c r="S98" s="10"/>
      <c r="T98" s="10">
        <v>0</v>
      </c>
      <c r="U98" s="10">
        <v>0</v>
      </c>
      <c r="V98" s="10">
        <v>1</v>
      </c>
      <c r="W98" s="10">
        <v>1</v>
      </c>
      <c r="X98" s="10"/>
      <c r="Y98" s="10">
        <v>10</v>
      </c>
      <c r="Z98" s="10" t="s">
        <v>75</v>
      </c>
      <c r="AA98" s="10">
        <v>1</v>
      </c>
      <c r="AB98" s="10" t="s">
        <v>11</v>
      </c>
      <c r="AC98" s="10">
        <v>-0.24</v>
      </c>
      <c r="AD98" s="10">
        <v>0.1</v>
      </c>
      <c r="AE98" s="12">
        <v>0.26</v>
      </c>
      <c r="AF98" s="10"/>
    </row>
    <row r="99" spans="5:32" x14ac:dyDescent="0.35">
      <c r="E99" s="10"/>
      <c r="F99" s="9">
        <v>11</v>
      </c>
      <c r="G99" s="10" t="s">
        <v>82</v>
      </c>
      <c r="H99" s="10">
        <v>1</v>
      </c>
      <c r="I99" s="10">
        <v>13.8</v>
      </c>
      <c r="J99" s="10">
        <v>1.05602</v>
      </c>
      <c r="K99" s="10">
        <v>14.573</v>
      </c>
      <c r="L99" s="10">
        <v>-35.35</v>
      </c>
      <c r="M99" s="10"/>
      <c r="N99" s="10"/>
      <c r="O99" s="10">
        <v>3.5</v>
      </c>
      <c r="P99" s="10">
        <v>1.8</v>
      </c>
      <c r="Q99" s="10">
        <v>0</v>
      </c>
      <c r="R99" s="10">
        <v>0</v>
      </c>
      <c r="S99" s="10"/>
      <c r="T99" s="10">
        <v>0</v>
      </c>
      <c r="U99" s="10">
        <v>0</v>
      </c>
      <c r="V99" s="10">
        <v>1</v>
      </c>
      <c r="W99" s="10">
        <v>1</v>
      </c>
      <c r="X99" s="10"/>
      <c r="Y99" s="10">
        <v>11</v>
      </c>
      <c r="Z99" s="10" t="s">
        <v>82</v>
      </c>
      <c r="AA99" s="10">
        <v>1</v>
      </c>
      <c r="AB99" s="10" t="s">
        <v>11</v>
      </c>
      <c r="AC99" s="10">
        <v>0</v>
      </c>
      <c r="AD99" s="10">
        <v>0</v>
      </c>
      <c r="AE99" s="12">
        <v>0</v>
      </c>
      <c r="AF99" s="10"/>
    </row>
    <row r="100" spans="5:32" x14ac:dyDescent="0.35">
      <c r="E100" s="10"/>
      <c r="F100" s="9">
        <v>12</v>
      </c>
      <c r="G100" s="10" t="s">
        <v>76</v>
      </c>
      <c r="H100" s="10">
        <v>1</v>
      </c>
      <c r="I100" s="10">
        <v>13.8</v>
      </c>
      <c r="J100" s="10">
        <v>1.05491</v>
      </c>
      <c r="K100" s="10">
        <v>14.558</v>
      </c>
      <c r="L100" s="10">
        <v>-35.68</v>
      </c>
      <c r="M100" s="10"/>
      <c r="N100" s="10"/>
      <c r="O100" s="10">
        <v>6.1</v>
      </c>
      <c r="P100" s="10">
        <v>1.6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1</v>
      </c>
      <c r="W100" s="10">
        <v>1</v>
      </c>
      <c r="X100" s="10"/>
      <c r="Y100" s="10">
        <v>12</v>
      </c>
      <c r="Z100" s="10" t="s">
        <v>76</v>
      </c>
      <c r="AA100" s="10">
        <v>1</v>
      </c>
      <c r="AB100" s="10" t="s">
        <v>11</v>
      </c>
      <c r="AC100" s="10">
        <v>-0.12</v>
      </c>
      <c r="AD100" s="10">
        <v>0.14000000000000001</v>
      </c>
      <c r="AE100" s="12">
        <v>0.18</v>
      </c>
      <c r="AF100" s="10"/>
    </row>
    <row r="101" spans="5:32" x14ac:dyDescent="0.35">
      <c r="E101" s="10"/>
      <c r="F101" s="9">
        <v>13</v>
      </c>
      <c r="G101" s="10" t="s">
        <v>78</v>
      </c>
      <c r="H101" s="10">
        <v>1</v>
      </c>
      <c r="I101" s="10">
        <v>13.8</v>
      </c>
      <c r="J101" s="10">
        <v>1.0500499999999999</v>
      </c>
      <c r="K101" s="10">
        <v>14.491</v>
      </c>
      <c r="L101" s="10">
        <v>-35.75</v>
      </c>
      <c r="M101" s="10"/>
      <c r="N101" s="10"/>
      <c r="O101" s="10">
        <v>13.5</v>
      </c>
      <c r="P101" s="10">
        <v>5.8</v>
      </c>
      <c r="Q101" s="10">
        <v>0</v>
      </c>
      <c r="R101" s="10">
        <v>0</v>
      </c>
      <c r="S101" s="10"/>
      <c r="T101" s="10">
        <v>0</v>
      </c>
      <c r="U101" s="10">
        <v>0</v>
      </c>
      <c r="V101" s="10">
        <v>1</v>
      </c>
      <c r="W101" s="10">
        <v>1</v>
      </c>
      <c r="X101" s="10"/>
      <c r="Y101" s="10">
        <v>13</v>
      </c>
      <c r="Z101" s="10" t="s">
        <v>78</v>
      </c>
      <c r="AA101" s="10">
        <v>1</v>
      </c>
      <c r="AB101" s="10" t="s">
        <v>11</v>
      </c>
      <c r="AC101" s="10">
        <v>-0.12</v>
      </c>
      <c r="AD101" s="10">
        <v>0.06</v>
      </c>
      <c r="AE101" s="12">
        <v>0.14000000000000001</v>
      </c>
      <c r="AF101" s="10"/>
    </row>
    <row r="102" spans="5:32" ht="15" thickBot="1" x14ac:dyDescent="0.4">
      <c r="E102" s="10"/>
      <c r="F102" s="13">
        <v>14</v>
      </c>
      <c r="G102" s="14" t="s">
        <v>81</v>
      </c>
      <c r="H102" s="14">
        <v>1</v>
      </c>
      <c r="I102" s="14">
        <v>13.8</v>
      </c>
      <c r="J102" s="14">
        <v>1.03413</v>
      </c>
      <c r="K102" s="14">
        <v>14.271000000000001</v>
      </c>
      <c r="L102" s="14">
        <v>-36.56</v>
      </c>
      <c r="M102" s="14"/>
      <c r="N102" s="14"/>
      <c r="O102" s="14">
        <v>14.9</v>
      </c>
      <c r="P102" s="14">
        <v>5</v>
      </c>
      <c r="Q102" s="14">
        <v>0</v>
      </c>
      <c r="R102" s="14">
        <v>0</v>
      </c>
      <c r="S102" s="14"/>
      <c r="T102" s="14">
        <v>0</v>
      </c>
      <c r="U102" s="14">
        <v>0</v>
      </c>
      <c r="V102" s="14">
        <v>1</v>
      </c>
      <c r="W102" s="14">
        <v>1</v>
      </c>
      <c r="X102" s="14"/>
      <c r="Y102" s="14">
        <v>14</v>
      </c>
      <c r="Z102" s="14" t="s">
        <v>81</v>
      </c>
      <c r="AA102" s="14">
        <v>1</v>
      </c>
      <c r="AB102" s="14" t="s">
        <v>11</v>
      </c>
      <c r="AC102" s="14">
        <v>0</v>
      </c>
      <c r="AD102" s="14">
        <v>0</v>
      </c>
      <c r="AE102" s="15">
        <v>0</v>
      </c>
      <c r="AF102" s="10"/>
    </row>
    <row r="103" spans="5:32" x14ac:dyDescent="0.35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5:32" x14ac:dyDescent="0.35">
      <c r="F104" s="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2"/>
    </row>
    <row r="105" spans="5:32" x14ac:dyDescent="0.35">
      <c r="F105" s="9" t="s">
        <v>107</v>
      </c>
      <c r="G105" s="10"/>
      <c r="H105" s="11" t="s">
        <v>108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2"/>
    </row>
    <row r="106" spans="5:32" x14ac:dyDescent="0.35">
      <c r="F106" s="9" t="s">
        <v>8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 t="s">
        <v>8</v>
      </c>
      <c r="Z106" s="10"/>
      <c r="AA106" s="10"/>
      <c r="AB106" s="10"/>
      <c r="AC106" s="10"/>
      <c r="AD106" s="10"/>
      <c r="AE106" s="10"/>
      <c r="AF106" s="12"/>
    </row>
    <row r="107" spans="5:32" x14ac:dyDescent="0.35">
      <c r="F107" s="9" t="s">
        <v>64</v>
      </c>
      <c r="G107" s="10" t="s">
        <v>65</v>
      </c>
      <c r="H107" s="10" t="s">
        <v>66</v>
      </c>
      <c r="I107" s="10" t="s">
        <v>85</v>
      </c>
      <c r="J107" s="10" t="s">
        <v>93</v>
      </c>
      <c r="K107" s="10" t="s">
        <v>94</v>
      </c>
      <c r="L107" s="10" t="s">
        <v>86</v>
      </c>
      <c r="M107" s="10" t="s">
        <v>87</v>
      </c>
      <c r="N107" s="10" t="s">
        <v>95</v>
      </c>
      <c r="O107" s="10" t="s">
        <v>88</v>
      </c>
      <c r="P107" s="10" t="s">
        <v>96</v>
      </c>
      <c r="Q107" s="10" t="s">
        <v>89</v>
      </c>
      <c r="R107" s="10" t="s">
        <v>97</v>
      </c>
      <c r="S107" s="10" t="s">
        <v>98</v>
      </c>
      <c r="T107" s="10" t="s">
        <v>90</v>
      </c>
      <c r="U107" s="10" t="s">
        <v>99</v>
      </c>
      <c r="V107" s="10" t="s">
        <v>91</v>
      </c>
      <c r="W107" s="10" t="s">
        <v>92</v>
      </c>
      <c r="X107" s="10"/>
      <c r="Y107" s="10" t="s">
        <v>64</v>
      </c>
      <c r="Z107" s="10" t="s">
        <v>65</v>
      </c>
      <c r="AA107" s="10" t="s">
        <v>66</v>
      </c>
      <c r="AB107" s="10" t="s">
        <v>1</v>
      </c>
      <c r="AC107" s="10" t="s">
        <v>67</v>
      </c>
      <c r="AD107" s="10" t="s">
        <v>68</v>
      </c>
      <c r="AE107" s="10" t="s">
        <v>69</v>
      </c>
      <c r="AF107" s="12"/>
    </row>
    <row r="108" spans="5:32" x14ac:dyDescent="0.35">
      <c r="F108" s="9">
        <v>1</v>
      </c>
      <c r="G108" s="10" t="s">
        <v>83</v>
      </c>
      <c r="H108" s="10">
        <v>1</v>
      </c>
      <c r="I108" s="10">
        <v>69</v>
      </c>
      <c r="J108" s="10">
        <v>1.06</v>
      </c>
      <c r="K108" s="10">
        <v>73.14</v>
      </c>
      <c r="L108" s="10">
        <v>-20.69</v>
      </c>
      <c r="M108" s="10">
        <v>156.12</v>
      </c>
      <c r="N108" s="10">
        <v>-10.130000000000001</v>
      </c>
      <c r="O108" s="10"/>
      <c r="P108" s="10"/>
      <c r="Q108" s="10"/>
      <c r="R108" s="10"/>
      <c r="S108" s="10"/>
      <c r="T108" s="10">
        <v>0</v>
      </c>
      <c r="U108" s="10">
        <v>0</v>
      </c>
      <c r="V108" s="10">
        <v>1</v>
      </c>
      <c r="W108" s="10">
        <v>1</v>
      </c>
      <c r="X108" s="10"/>
      <c r="Y108" s="10">
        <v>1</v>
      </c>
      <c r="Z108" s="10" t="s">
        <v>83</v>
      </c>
      <c r="AA108" s="10">
        <v>1</v>
      </c>
      <c r="AB108" s="10" t="s">
        <v>84</v>
      </c>
      <c r="AC108" s="10">
        <v>0</v>
      </c>
      <c r="AD108" s="10">
        <v>0</v>
      </c>
      <c r="AE108" s="10">
        <v>0</v>
      </c>
      <c r="AF108" s="12"/>
    </row>
    <row r="109" spans="5:32" x14ac:dyDescent="0.35">
      <c r="F109" s="9">
        <v>2</v>
      </c>
      <c r="G109" s="10" t="s">
        <v>74</v>
      </c>
      <c r="H109" s="10">
        <v>1</v>
      </c>
      <c r="I109" s="10">
        <v>69</v>
      </c>
      <c r="J109" s="10">
        <v>1.0449999999999999</v>
      </c>
      <c r="K109" s="10">
        <v>72.105000000000004</v>
      </c>
      <c r="L109" s="10">
        <v>-23.9</v>
      </c>
      <c r="M109" s="10">
        <v>40</v>
      </c>
      <c r="N109" s="10">
        <v>12.94</v>
      </c>
      <c r="O109" s="10">
        <v>21.7</v>
      </c>
      <c r="P109" s="10">
        <v>12.7</v>
      </c>
      <c r="Q109" s="10">
        <v>0</v>
      </c>
      <c r="R109" s="10">
        <v>0</v>
      </c>
      <c r="S109" s="10"/>
      <c r="T109" s="10">
        <v>0</v>
      </c>
      <c r="U109" s="10">
        <v>0</v>
      </c>
      <c r="V109" s="10">
        <v>1</v>
      </c>
      <c r="W109" s="10">
        <v>1</v>
      </c>
      <c r="X109" s="10"/>
      <c r="Y109" s="10">
        <v>2</v>
      </c>
      <c r="Z109" s="10" t="s">
        <v>74</v>
      </c>
      <c r="AA109" s="10">
        <v>1</v>
      </c>
      <c r="AB109" s="10" t="s">
        <v>9</v>
      </c>
      <c r="AC109" s="10">
        <v>16.43</v>
      </c>
      <c r="AD109" s="10">
        <v>0</v>
      </c>
      <c r="AE109" s="10">
        <v>16.43</v>
      </c>
      <c r="AF109" s="12"/>
    </row>
    <row r="110" spans="5:32" x14ac:dyDescent="0.35">
      <c r="F110" s="9">
        <v>3</v>
      </c>
      <c r="G110" s="10" t="s">
        <v>77</v>
      </c>
      <c r="H110" s="10">
        <v>1</v>
      </c>
      <c r="I110" s="10">
        <v>69</v>
      </c>
      <c r="J110" s="10">
        <v>1.01</v>
      </c>
      <c r="K110" s="10">
        <v>69.69</v>
      </c>
      <c r="L110" s="10">
        <v>-27.46</v>
      </c>
      <c r="M110" s="10">
        <v>65</v>
      </c>
      <c r="N110" s="10">
        <v>-6.1</v>
      </c>
      <c r="O110" s="10">
        <v>94.2</v>
      </c>
      <c r="P110" s="10">
        <v>19</v>
      </c>
      <c r="Q110" s="10">
        <v>0</v>
      </c>
      <c r="R110" s="10">
        <v>0</v>
      </c>
      <c r="S110" s="10"/>
      <c r="T110" s="10">
        <v>0</v>
      </c>
      <c r="U110" s="10">
        <v>0</v>
      </c>
      <c r="V110" s="10">
        <v>1</v>
      </c>
      <c r="W110" s="10">
        <v>1</v>
      </c>
      <c r="X110" s="10"/>
      <c r="Y110" s="10">
        <v>3</v>
      </c>
      <c r="Z110" s="10" t="s">
        <v>77</v>
      </c>
      <c r="AA110" s="10">
        <v>1</v>
      </c>
      <c r="AB110" s="10" t="s">
        <v>9</v>
      </c>
      <c r="AC110" s="10">
        <v>9.6</v>
      </c>
      <c r="AD110" s="10">
        <v>0</v>
      </c>
      <c r="AE110" s="10">
        <v>9.6</v>
      </c>
      <c r="AF110" s="12"/>
    </row>
    <row r="111" spans="5:32" x14ac:dyDescent="0.35">
      <c r="F111" s="9">
        <v>4</v>
      </c>
      <c r="G111" s="10" t="s">
        <v>70</v>
      </c>
      <c r="H111" s="10">
        <v>1</v>
      </c>
      <c r="I111" s="10">
        <v>69</v>
      </c>
      <c r="J111" s="10">
        <v>1.0356799999999999</v>
      </c>
      <c r="K111" s="10">
        <v>71.462000000000003</v>
      </c>
      <c r="L111" s="10">
        <v>-27.62</v>
      </c>
      <c r="M111" s="10"/>
      <c r="N111" s="10"/>
      <c r="O111" s="10">
        <v>47.8</v>
      </c>
      <c r="P111" s="10">
        <v>-3.9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1</v>
      </c>
      <c r="W111" s="10">
        <v>1</v>
      </c>
      <c r="X111" s="10"/>
      <c r="Y111" s="10">
        <v>4</v>
      </c>
      <c r="Z111" s="10" t="s">
        <v>70</v>
      </c>
      <c r="AA111" s="10">
        <v>1</v>
      </c>
      <c r="AB111" s="10" t="s">
        <v>11</v>
      </c>
      <c r="AC111" s="10">
        <v>-23.7</v>
      </c>
      <c r="AD111" s="10">
        <v>-0.66</v>
      </c>
      <c r="AE111" s="10">
        <v>23.71</v>
      </c>
      <c r="AF111" s="12"/>
    </row>
    <row r="112" spans="5:32" x14ac:dyDescent="0.35">
      <c r="F112" s="9">
        <v>5</v>
      </c>
      <c r="G112" s="10" t="s">
        <v>79</v>
      </c>
      <c r="H112" s="10">
        <v>1</v>
      </c>
      <c r="I112" s="10">
        <v>69</v>
      </c>
      <c r="J112" s="10">
        <v>1.03976</v>
      </c>
      <c r="K112" s="10">
        <v>71.742999999999995</v>
      </c>
      <c r="L112" s="10">
        <v>-26.81</v>
      </c>
      <c r="M112" s="10"/>
      <c r="N112" s="10"/>
      <c r="O112" s="10">
        <v>7.6</v>
      </c>
      <c r="P112" s="10">
        <v>1.6</v>
      </c>
      <c r="Q112" s="10">
        <v>0</v>
      </c>
      <c r="R112" s="10">
        <v>0</v>
      </c>
      <c r="S112" s="10"/>
      <c r="T112" s="10">
        <v>0</v>
      </c>
      <c r="U112" s="10">
        <v>0</v>
      </c>
      <c r="V112" s="10">
        <v>1</v>
      </c>
      <c r="W112" s="10">
        <v>1</v>
      </c>
      <c r="X112" s="10"/>
      <c r="Y112" s="10">
        <v>5</v>
      </c>
      <c r="Z112" s="10" t="s">
        <v>79</v>
      </c>
      <c r="AA112" s="10">
        <v>1</v>
      </c>
      <c r="AB112" s="10" t="s">
        <v>11</v>
      </c>
      <c r="AC112" s="10">
        <v>-14.25</v>
      </c>
      <c r="AD112" s="10">
        <v>0.42</v>
      </c>
      <c r="AE112" s="10">
        <v>14.25</v>
      </c>
      <c r="AF112" s="12"/>
    </row>
    <row r="113" spans="6:32" x14ac:dyDescent="0.35">
      <c r="F113" s="9">
        <v>6</v>
      </c>
      <c r="G113" s="10" t="s">
        <v>71</v>
      </c>
      <c r="H113" s="10">
        <v>1</v>
      </c>
      <c r="I113" s="10">
        <v>13.8</v>
      </c>
      <c r="J113" s="10">
        <v>1.07</v>
      </c>
      <c r="K113" s="10">
        <v>14.766</v>
      </c>
      <c r="L113" s="10">
        <v>-35.49</v>
      </c>
      <c r="M113" s="10">
        <v>0</v>
      </c>
      <c r="N113" s="10">
        <v>39.74</v>
      </c>
      <c r="O113" s="10">
        <v>11.2</v>
      </c>
      <c r="P113" s="10">
        <v>7.5</v>
      </c>
      <c r="Q113" s="10">
        <v>0</v>
      </c>
      <c r="R113" s="10">
        <v>0</v>
      </c>
      <c r="S113" s="10"/>
      <c r="T113" s="10">
        <v>0</v>
      </c>
      <c r="U113" s="10">
        <v>0</v>
      </c>
      <c r="V113" s="10">
        <v>1</v>
      </c>
      <c r="W113" s="10">
        <v>1</v>
      </c>
      <c r="X113" s="10"/>
      <c r="Y113" s="10">
        <v>6</v>
      </c>
      <c r="Z113" s="10" t="s">
        <v>71</v>
      </c>
      <c r="AA113" s="10">
        <v>1</v>
      </c>
      <c r="AB113" s="10" t="s">
        <v>9</v>
      </c>
      <c r="AC113" s="10">
        <v>50.3</v>
      </c>
      <c r="AD113" s="10">
        <v>0</v>
      </c>
      <c r="AE113" s="10">
        <v>50.3</v>
      </c>
      <c r="AF113" s="12"/>
    </row>
    <row r="114" spans="6:32" x14ac:dyDescent="0.35">
      <c r="F114" s="9">
        <v>7</v>
      </c>
      <c r="G114" s="10" t="s">
        <v>73</v>
      </c>
      <c r="H114" s="10">
        <v>1</v>
      </c>
      <c r="I114" s="10">
        <v>13.8</v>
      </c>
      <c r="J114" s="10">
        <v>1.06524</v>
      </c>
      <c r="K114" s="10">
        <v>14.7</v>
      </c>
      <c r="L114" s="10">
        <v>-33.770000000000003</v>
      </c>
      <c r="M114" s="10"/>
      <c r="N114" s="10"/>
      <c r="O114" s="10">
        <v>0</v>
      </c>
      <c r="P114" s="10">
        <v>0</v>
      </c>
      <c r="Q114" s="10">
        <v>0</v>
      </c>
      <c r="R114" s="10">
        <v>0</v>
      </c>
      <c r="S114" s="10"/>
      <c r="T114" s="10">
        <v>0</v>
      </c>
      <c r="U114" s="10">
        <v>0</v>
      </c>
      <c r="V114" s="10">
        <v>1</v>
      </c>
      <c r="W114" s="10">
        <v>1</v>
      </c>
      <c r="X114" s="10"/>
      <c r="Y114" s="10">
        <v>7</v>
      </c>
      <c r="Z114" s="10" t="s">
        <v>73</v>
      </c>
      <c r="AA114" s="10">
        <v>1</v>
      </c>
      <c r="AB114" s="10" t="s">
        <v>11</v>
      </c>
      <c r="AC114" s="10">
        <v>-2.74</v>
      </c>
      <c r="AD114" s="10">
        <v>-0.03</v>
      </c>
      <c r="AE114" s="10">
        <v>2.74</v>
      </c>
      <c r="AF114" s="12"/>
    </row>
    <row r="115" spans="6:32" x14ac:dyDescent="0.35">
      <c r="F115" s="9">
        <v>8</v>
      </c>
      <c r="G115" s="10" t="s">
        <v>80</v>
      </c>
      <c r="H115" s="10">
        <v>1</v>
      </c>
      <c r="I115" s="10">
        <v>18</v>
      </c>
      <c r="J115" s="10">
        <v>1.0900000000000001</v>
      </c>
      <c r="K115" s="10">
        <v>19.62</v>
      </c>
      <c r="L115" s="10">
        <v>-33.81</v>
      </c>
      <c r="M115" s="10">
        <v>0</v>
      </c>
      <c r="N115" s="10">
        <v>24.16</v>
      </c>
      <c r="O115" s="10"/>
      <c r="P115" s="10"/>
      <c r="Q115" s="10"/>
      <c r="R115" s="10"/>
      <c r="S115" s="10"/>
      <c r="T115" s="10">
        <v>0</v>
      </c>
      <c r="U115" s="10">
        <v>0</v>
      </c>
      <c r="V115" s="10">
        <v>1</v>
      </c>
      <c r="W115" s="10">
        <v>1</v>
      </c>
      <c r="X115" s="10"/>
      <c r="Y115" s="10">
        <v>8</v>
      </c>
      <c r="Z115" s="10" t="s">
        <v>80</v>
      </c>
      <c r="AA115" s="10">
        <v>1</v>
      </c>
      <c r="AB115" s="10" t="s">
        <v>9</v>
      </c>
      <c r="AC115" s="10">
        <v>0.44</v>
      </c>
      <c r="AD115" s="10">
        <v>0</v>
      </c>
      <c r="AE115" s="10">
        <v>0.44</v>
      </c>
      <c r="AF115" s="12"/>
    </row>
    <row r="116" spans="6:32" x14ac:dyDescent="0.35">
      <c r="F116" s="9">
        <v>9</v>
      </c>
      <c r="G116" s="10" t="s">
        <v>72</v>
      </c>
      <c r="H116" s="10">
        <v>1</v>
      </c>
      <c r="I116" s="10">
        <v>13.8</v>
      </c>
      <c r="J116" s="10">
        <v>1.05732</v>
      </c>
      <c r="K116" s="10">
        <v>14.590999999999999</v>
      </c>
      <c r="L116" s="10">
        <v>-35</v>
      </c>
      <c r="M116" s="10"/>
      <c r="N116" s="10"/>
      <c r="O116" s="10">
        <v>29.5</v>
      </c>
      <c r="P116" s="10">
        <v>16.600000000000001</v>
      </c>
      <c r="Q116" s="10">
        <v>0</v>
      </c>
      <c r="R116" s="10">
        <v>0</v>
      </c>
      <c r="S116" s="10">
        <v>21.24</v>
      </c>
      <c r="T116" s="10">
        <v>0</v>
      </c>
      <c r="U116" s="10">
        <v>0</v>
      </c>
      <c r="V116" s="10">
        <v>1</v>
      </c>
      <c r="W116" s="10">
        <v>1</v>
      </c>
      <c r="X116" s="10"/>
      <c r="Y116" s="10">
        <v>9</v>
      </c>
      <c r="Z116" s="10" t="s">
        <v>72</v>
      </c>
      <c r="AA116" s="10">
        <v>1</v>
      </c>
      <c r="AB116" s="10" t="s">
        <v>11</v>
      </c>
      <c r="AC116" s="10">
        <v>1.26</v>
      </c>
      <c r="AD116" s="10">
        <v>1.1000000000000001</v>
      </c>
      <c r="AE116" s="10">
        <v>1.67</v>
      </c>
      <c r="AF116" s="12"/>
    </row>
    <row r="117" spans="6:32" x14ac:dyDescent="0.35">
      <c r="F117" s="9">
        <v>10</v>
      </c>
      <c r="G117" s="10" t="s">
        <v>75</v>
      </c>
      <c r="H117" s="10">
        <v>1</v>
      </c>
      <c r="I117" s="10">
        <v>13.8</v>
      </c>
      <c r="J117" s="10">
        <v>1.05339</v>
      </c>
      <c r="K117" s="10">
        <v>14.537000000000001</v>
      </c>
      <c r="L117" s="10">
        <v>-35.22</v>
      </c>
      <c r="M117" s="10"/>
      <c r="N117" s="10"/>
      <c r="O117" s="10">
        <v>9</v>
      </c>
      <c r="P117" s="10">
        <v>5.8</v>
      </c>
      <c r="Q117" s="10">
        <v>0</v>
      </c>
      <c r="R117" s="10">
        <v>0</v>
      </c>
      <c r="S117" s="10"/>
      <c r="T117" s="10">
        <v>0</v>
      </c>
      <c r="U117" s="10">
        <v>0</v>
      </c>
      <c r="V117" s="10">
        <v>1</v>
      </c>
      <c r="W117" s="10">
        <v>1</v>
      </c>
      <c r="X117" s="10"/>
      <c r="Y117" s="10">
        <v>10</v>
      </c>
      <c r="Z117" s="10" t="s">
        <v>75</v>
      </c>
      <c r="AA117" s="10">
        <v>1</v>
      </c>
      <c r="AB117" s="10" t="s">
        <v>11</v>
      </c>
      <c r="AC117" s="10">
        <v>3.45</v>
      </c>
      <c r="AD117" s="10">
        <v>0.11</v>
      </c>
      <c r="AE117" s="10">
        <v>3.45</v>
      </c>
      <c r="AF117" s="12"/>
    </row>
    <row r="118" spans="6:32" x14ac:dyDescent="0.35">
      <c r="F118" s="9">
        <v>11</v>
      </c>
      <c r="G118" s="10" t="s">
        <v>82</v>
      </c>
      <c r="H118" s="10">
        <v>1</v>
      </c>
      <c r="I118" s="10">
        <v>13.8</v>
      </c>
      <c r="J118" s="10">
        <v>1.0644400000000001</v>
      </c>
      <c r="K118" s="10">
        <v>14.689</v>
      </c>
      <c r="L118" s="10">
        <v>-34.72</v>
      </c>
      <c r="M118" s="10"/>
      <c r="N118" s="10"/>
      <c r="O118" s="10">
        <v>3.5</v>
      </c>
      <c r="P118" s="10">
        <v>1.8</v>
      </c>
      <c r="Q118" s="10">
        <v>0</v>
      </c>
      <c r="R118" s="10">
        <v>0</v>
      </c>
      <c r="S118" s="10"/>
      <c r="T118" s="10">
        <v>0</v>
      </c>
      <c r="U118" s="10">
        <v>0</v>
      </c>
      <c r="V118" s="10">
        <v>1</v>
      </c>
      <c r="W118" s="10">
        <v>1</v>
      </c>
      <c r="X118" s="10"/>
      <c r="Y118" s="10">
        <v>11</v>
      </c>
      <c r="Z118" s="10" t="s">
        <v>82</v>
      </c>
      <c r="AA118" s="10">
        <v>1</v>
      </c>
      <c r="AB118" s="10" t="s">
        <v>11</v>
      </c>
      <c r="AC118" s="10">
        <v>-15.14</v>
      </c>
      <c r="AD118" s="10">
        <v>0.21</v>
      </c>
      <c r="AE118" s="10">
        <v>15.14</v>
      </c>
      <c r="AF118" s="12"/>
    </row>
    <row r="119" spans="6:32" x14ac:dyDescent="0.35">
      <c r="F119" s="9">
        <v>12</v>
      </c>
      <c r="G119" s="10" t="s">
        <v>76</v>
      </c>
      <c r="H119" s="10">
        <v>1</v>
      </c>
      <c r="I119" s="10">
        <v>13.8</v>
      </c>
      <c r="J119" s="10">
        <v>1.06768</v>
      </c>
      <c r="K119" s="10">
        <v>14.734</v>
      </c>
      <c r="L119" s="10">
        <v>-34.909999999999997</v>
      </c>
      <c r="M119" s="10"/>
      <c r="N119" s="10"/>
      <c r="O119" s="10">
        <v>6.1</v>
      </c>
      <c r="P119" s="10">
        <v>1.6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1</v>
      </c>
      <c r="W119" s="10">
        <v>1</v>
      </c>
      <c r="X119" s="10"/>
      <c r="Y119" s="10">
        <v>12</v>
      </c>
      <c r="Z119" s="10" t="s">
        <v>76</v>
      </c>
      <c r="AA119" s="10">
        <v>1</v>
      </c>
      <c r="AB119" s="10" t="s">
        <v>11</v>
      </c>
      <c r="AC119" s="10">
        <v>-11.94</v>
      </c>
      <c r="AD119" s="10">
        <v>0.16</v>
      </c>
      <c r="AE119" s="10">
        <v>11.94</v>
      </c>
      <c r="AF119" s="12"/>
    </row>
    <row r="120" spans="6:32" x14ac:dyDescent="0.35">
      <c r="F120" s="9">
        <v>13</v>
      </c>
      <c r="G120" s="10" t="s">
        <v>78</v>
      </c>
      <c r="H120" s="10">
        <v>1</v>
      </c>
      <c r="I120" s="10">
        <v>13.8</v>
      </c>
      <c r="J120" s="10">
        <v>1.0609500000000001</v>
      </c>
      <c r="K120" s="10">
        <v>14.641</v>
      </c>
      <c r="L120" s="10">
        <v>-35.090000000000003</v>
      </c>
      <c r="M120" s="10"/>
      <c r="N120" s="10"/>
      <c r="O120" s="10">
        <v>13.5</v>
      </c>
      <c r="P120" s="10">
        <v>5.8</v>
      </c>
      <c r="Q120" s="10">
        <v>0</v>
      </c>
      <c r="R120" s="10">
        <v>0</v>
      </c>
      <c r="S120" s="10"/>
      <c r="T120" s="10">
        <v>0</v>
      </c>
      <c r="U120" s="10">
        <v>0</v>
      </c>
      <c r="V120" s="10">
        <v>1</v>
      </c>
      <c r="W120" s="10">
        <v>1</v>
      </c>
      <c r="X120" s="10"/>
      <c r="Y120" s="10">
        <v>13</v>
      </c>
      <c r="Z120" s="10" t="s">
        <v>78</v>
      </c>
      <c r="AA120" s="10">
        <v>1</v>
      </c>
      <c r="AB120" s="10" t="s">
        <v>11</v>
      </c>
      <c r="AC120" s="10">
        <v>-21.17</v>
      </c>
      <c r="AD120" s="10">
        <v>0.4</v>
      </c>
      <c r="AE120" s="10">
        <v>21.17</v>
      </c>
      <c r="AF120" s="12"/>
    </row>
    <row r="121" spans="6:32" x14ac:dyDescent="0.35">
      <c r="F121" s="9">
        <v>14</v>
      </c>
      <c r="G121" s="10" t="s">
        <v>81</v>
      </c>
      <c r="H121" s="10">
        <v>1</v>
      </c>
      <c r="I121" s="10">
        <v>13.8</v>
      </c>
      <c r="J121" s="10">
        <v>1.0384199999999999</v>
      </c>
      <c r="K121" s="10">
        <v>14.33</v>
      </c>
      <c r="L121" s="10">
        <v>-36.340000000000003</v>
      </c>
      <c r="M121" s="10"/>
      <c r="N121" s="10"/>
      <c r="O121" s="10">
        <v>14.9</v>
      </c>
      <c r="P121" s="10">
        <v>5</v>
      </c>
      <c r="Q121" s="10">
        <v>0</v>
      </c>
      <c r="R121" s="10">
        <v>0</v>
      </c>
      <c r="S121" s="10"/>
      <c r="T121" s="10">
        <v>0</v>
      </c>
      <c r="U121" s="10">
        <v>0</v>
      </c>
      <c r="V121" s="10">
        <v>1</v>
      </c>
      <c r="W121" s="10">
        <v>1</v>
      </c>
      <c r="X121" s="10"/>
      <c r="Y121" s="10">
        <v>14</v>
      </c>
      <c r="Z121" s="10" t="s">
        <v>81</v>
      </c>
      <c r="AA121" s="10">
        <v>1</v>
      </c>
      <c r="AB121" s="10" t="s">
        <v>11</v>
      </c>
      <c r="AC121" s="10">
        <v>3.81</v>
      </c>
      <c r="AD121" s="10">
        <v>-0.17</v>
      </c>
      <c r="AE121" s="10">
        <v>3.81</v>
      </c>
      <c r="AF121" s="12"/>
    </row>
    <row r="122" spans="6:32" x14ac:dyDescent="0.35">
      <c r="F122" s="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2"/>
    </row>
    <row r="123" spans="6:32" x14ac:dyDescent="0.35">
      <c r="F123" s="9" t="s">
        <v>109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2"/>
    </row>
    <row r="124" spans="6:32" x14ac:dyDescent="0.35">
      <c r="F124" s="9" t="s">
        <v>8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 t="s">
        <v>8</v>
      </c>
      <c r="Z124" s="10"/>
      <c r="AA124" s="10"/>
      <c r="AB124" s="10"/>
      <c r="AC124" s="10"/>
      <c r="AD124" s="10"/>
      <c r="AE124" s="10"/>
      <c r="AF124" s="12"/>
    </row>
    <row r="125" spans="6:32" x14ac:dyDescent="0.35">
      <c r="F125" s="9" t="s">
        <v>64</v>
      </c>
      <c r="G125" s="10" t="s">
        <v>65</v>
      </c>
      <c r="H125" s="10" t="s">
        <v>66</v>
      </c>
      <c r="I125" s="10" t="s">
        <v>85</v>
      </c>
      <c r="J125" s="10" t="s">
        <v>93</v>
      </c>
      <c r="K125" s="10" t="s">
        <v>94</v>
      </c>
      <c r="L125" s="10" t="s">
        <v>86</v>
      </c>
      <c r="M125" s="10" t="s">
        <v>87</v>
      </c>
      <c r="N125" s="10" t="s">
        <v>95</v>
      </c>
      <c r="O125" s="10" t="s">
        <v>88</v>
      </c>
      <c r="P125" s="10" t="s">
        <v>96</v>
      </c>
      <c r="Q125" s="10" t="s">
        <v>89</v>
      </c>
      <c r="R125" s="10" t="s">
        <v>97</v>
      </c>
      <c r="S125" s="10" t="s">
        <v>98</v>
      </c>
      <c r="T125" s="10" t="s">
        <v>90</v>
      </c>
      <c r="U125" s="10" t="s">
        <v>99</v>
      </c>
      <c r="V125" s="10" t="s">
        <v>91</v>
      </c>
      <c r="W125" s="10" t="s">
        <v>92</v>
      </c>
      <c r="X125" s="10"/>
      <c r="Y125" s="10" t="s">
        <v>64</v>
      </c>
      <c r="Z125" s="10" t="s">
        <v>65</v>
      </c>
      <c r="AA125" s="10" t="s">
        <v>66</v>
      </c>
      <c r="AB125" s="10" t="s">
        <v>1</v>
      </c>
      <c r="AC125" s="10" t="s">
        <v>67</v>
      </c>
      <c r="AD125" s="10" t="s">
        <v>68</v>
      </c>
      <c r="AE125" s="10" t="s">
        <v>69</v>
      </c>
      <c r="AF125" s="12"/>
    </row>
    <row r="126" spans="6:32" x14ac:dyDescent="0.35">
      <c r="F126" s="9">
        <v>1</v>
      </c>
      <c r="G126" s="10" t="s">
        <v>83</v>
      </c>
      <c r="H126" s="10">
        <v>1</v>
      </c>
      <c r="I126" s="10">
        <v>69</v>
      </c>
      <c r="J126" s="10">
        <v>1.06</v>
      </c>
      <c r="K126" s="10">
        <v>73.14</v>
      </c>
      <c r="L126" s="10">
        <v>-20.69</v>
      </c>
      <c r="M126" s="10">
        <v>160.78</v>
      </c>
      <c r="N126" s="10">
        <v>-9.59</v>
      </c>
      <c r="O126" s="10"/>
      <c r="P126" s="10"/>
      <c r="Q126" s="10"/>
      <c r="R126" s="10"/>
      <c r="S126" s="10"/>
      <c r="T126" s="10">
        <v>0</v>
      </c>
      <c r="U126" s="10">
        <v>0</v>
      </c>
      <c r="V126" s="10">
        <v>1</v>
      </c>
      <c r="W126" s="10">
        <v>1</v>
      </c>
      <c r="X126" s="10"/>
      <c r="Y126" s="10">
        <v>1</v>
      </c>
      <c r="Z126" s="10" t="s">
        <v>83</v>
      </c>
      <c r="AA126" s="10">
        <v>1</v>
      </c>
      <c r="AB126" s="10" t="s">
        <v>84</v>
      </c>
      <c r="AC126" s="10">
        <v>0</v>
      </c>
      <c r="AD126" s="10">
        <v>0</v>
      </c>
      <c r="AE126" s="10">
        <v>0</v>
      </c>
      <c r="AF126" s="12"/>
    </row>
    <row r="127" spans="6:32" x14ac:dyDescent="0.35">
      <c r="F127" s="9">
        <v>2</v>
      </c>
      <c r="G127" s="10" t="s">
        <v>74</v>
      </c>
      <c r="H127" s="10">
        <v>1</v>
      </c>
      <c r="I127" s="10">
        <v>69</v>
      </c>
      <c r="J127" s="10">
        <v>1.0449999999999999</v>
      </c>
      <c r="K127" s="10">
        <v>72.105000000000004</v>
      </c>
      <c r="L127" s="10">
        <v>-23.87</v>
      </c>
      <c r="M127" s="10">
        <v>40</v>
      </c>
      <c r="N127" s="10">
        <v>7.48</v>
      </c>
      <c r="O127" s="10">
        <v>21.7</v>
      </c>
      <c r="P127" s="10">
        <v>12.7</v>
      </c>
      <c r="Q127" s="10">
        <v>0</v>
      </c>
      <c r="R127" s="10">
        <v>0</v>
      </c>
      <c r="S127" s="10"/>
      <c r="T127" s="10">
        <v>0</v>
      </c>
      <c r="U127" s="10">
        <v>0</v>
      </c>
      <c r="V127" s="10">
        <v>1</v>
      </c>
      <c r="W127" s="10">
        <v>1</v>
      </c>
      <c r="X127" s="10"/>
      <c r="Y127" s="10">
        <v>2</v>
      </c>
      <c r="Z127" s="10" t="s">
        <v>74</v>
      </c>
      <c r="AA127" s="10">
        <v>1</v>
      </c>
      <c r="AB127" s="10" t="s">
        <v>9</v>
      </c>
      <c r="AC127" s="10">
        <v>0</v>
      </c>
      <c r="AD127" s="10">
        <v>0</v>
      </c>
      <c r="AE127" s="10">
        <v>0</v>
      </c>
      <c r="AF127" s="12"/>
    </row>
    <row r="128" spans="6:32" x14ac:dyDescent="0.35">
      <c r="F128" s="9">
        <v>3</v>
      </c>
      <c r="G128" s="10" t="s">
        <v>77</v>
      </c>
      <c r="H128" s="10">
        <v>1</v>
      </c>
      <c r="I128" s="10">
        <v>69</v>
      </c>
      <c r="J128" s="10">
        <v>1.01755</v>
      </c>
      <c r="K128" s="10">
        <v>70.210999999999999</v>
      </c>
      <c r="L128" s="10">
        <v>-27.47</v>
      </c>
      <c r="M128" s="10">
        <v>65</v>
      </c>
      <c r="N128" s="10">
        <v>0</v>
      </c>
      <c r="O128" s="10">
        <v>94.2</v>
      </c>
      <c r="P128" s="10">
        <v>19</v>
      </c>
      <c r="Q128" s="10">
        <v>0</v>
      </c>
      <c r="R128" s="10">
        <v>0</v>
      </c>
      <c r="S128" s="10"/>
      <c r="T128" s="10">
        <v>0</v>
      </c>
      <c r="U128" s="10">
        <v>0</v>
      </c>
      <c r="V128" s="10">
        <v>1</v>
      </c>
      <c r="W128" s="10">
        <v>1</v>
      </c>
      <c r="X128" s="10"/>
      <c r="Y128" s="10">
        <v>3</v>
      </c>
      <c r="Z128" s="10" t="s">
        <v>77</v>
      </c>
      <c r="AA128" s="10">
        <v>1</v>
      </c>
      <c r="AB128" s="10" t="s">
        <v>100</v>
      </c>
      <c r="AC128" s="10">
        <v>0</v>
      </c>
      <c r="AD128" s="10">
        <v>0</v>
      </c>
      <c r="AE128" s="10">
        <v>0</v>
      </c>
      <c r="AF128" s="12"/>
    </row>
    <row r="129" spans="6:32" x14ac:dyDescent="0.35">
      <c r="F129" s="9">
        <v>4</v>
      </c>
      <c r="G129" s="10" t="s">
        <v>70</v>
      </c>
      <c r="H129" s="10">
        <v>1</v>
      </c>
      <c r="I129" s="10">
        <v>69</v>
      </c>
      <c r="J129" s="10">
        <v>1.03294</v>
      </c>
      <c r="K129" s="10">
        <v>71.272999999999996</v>
      </c>
      <c r="L129" s="10">
        <v>-28.42</v>
      </c>
      <c r="M129" s="10"/>
      <c r="N129" s="10"/>
      <c r="O129" s="10">
        <v>47.8</v>
      </c>
      <c r="P129" s="10">
        <v>-3.9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1</v>
      </c>
      <c r="W129" s="10">
        <v>1</v>
      </c>
      <c r="X129" s="10"/>
      <c r="Y129" s="10">
        <v>4</v>
      </c>
      <c r="Z129" s="10" t="s">
        <v>70</v>
      </c>
      <c r="AA129" s="10">
        <v>1</v>
      </c>
      <c r="AB129" s="10" t="s">
        <v>11</v>
      </c>
      <c r="AC129" s="10">
        <v>0</v>
      </c>
      <c r="AD129" s="10">
        <v>0</v>
      </c>
      <c r="AE129" s="10">
        <v>0</v>
      </c>
      <c r="AF129" s="12"/>
    </row>
    <row r="130" spans="6:32" x14ac:dyDescent="0.35">
      <c r="F130" s="9">
        <v>5</v>
      </c>
      <c r="G130" s="10" t="s">
        <v>79</v>
      </c>
      <c r="H130" s="10">
        <v>1</v>
      </c>
      <c r="I130" s="10">
        <v>69</v>
      </c>
      <c r="J130" s="10">
        <v>1.03762</v>
      </c>
      <c r="K130" s="10">
        <v>71.596000000000004</v>
      </c>
      <c r="L130" s="10">
        <v>-27.47</v>
      </c>
      <c r="M130" s="10"/>
      <c r="N130" s="10"/>
      <c r="O130" s="10">
        <v>7.6</v>
      </c>
      <c r="P130" s="10">
        <v>1.6</v>
      </c>
      <c r="Q130" s="10">
        <v>0</v>
      </c>
      <c r="R130" s="10">
        <v>0</v>
      </c>
      <c r="S130" s="10"/>
      <c r="T130" s="10">
        <v>0</v>
      </c>
      <c r="U130" s="10">
        <v>0</v>
      </c>
      <c r="V130" s="10">
        <v>1</v>
      </c>
      <c r="W130" s="10">
        <v>1</v>
      </c>
      <c r="X130" s="10"/>
      <c r="Y130" s="10">
        <v>5</v>
      </c>
      <c r="Z130" s="10" t="s">
        <v>79</v>
      </c>
      <c r="AA130" s="10">
        <v>1</v>
      </c>
      <c r="AB130" s="10" t="s">
        <v>11</v>
      </c>
      <c r="AC130" s="10">
        <v>0</v>
      </c>
      <c r="AD130" s="10">
        <v>0</v>
      </c>
      <c r="AE130" s="10">
        <v>0</v>
      </c>
      <c r="AF130" s="12"/>
    </row>
    <row r="131" spans="6:32" x14ac:dyDescent="0.35">
      <c r="F131" s="9">
        <v>6</v>
      </c>
      <c r="G131" s="10" t="s">
        <v>71</v>
      </c>
      <c r="H131" s="10">
        <v>1</v>
      </c>
      <c r="I131" s="10">
        <v>13.8</v>
      </c>
      <c r="J131" s="10">
        <v>1.07</v>
      </c>
      <c r="K131" s="10">
        <v>14.766</v>
      </c>
      <c r="L131" s="10">
        <v>-35.130000000000003</v>
      </c>
      <c r="M131" s="10">
        <v>0</v>
      </c>
      <c r="N131" s="10">
        <v>37.46</v>
      </c>
      <c r="O131" s="10">
        <v>11.2</v>
      </c>
      <c r="P131" s="10">
        <v>7.5</v>
      </c>
      <c r="Q131" s="10">
        <v>0</v>
      </c>
      <c r="R131" s="10">
        <v>0</v>
      </c>
      <c r="S131" s="10"/>
      <c r="T131" s="10">
        <v>0</v>
      </c>
      <c r="U131" s="10">
        <v>0</v>
      </c>
      <c r="V131" s="10">
        <v>1</v>
      </c>
      <c r="W131" s="10">
        <v>1</v>
      </c>
      <c r="X131" s="10"/>
      <c r="Y131" s="10">
        <v>6</v>
      </c>
      <c r="Z131" s="10" t="s">
        <v>71</v>
      </c>
      <c r="AA131" s="10">
        <v>1</v>
      </c>
      <c r="AB131" s="10" t="s">
        <v>9</v>
      </c>
      <c r="AC131" s="10">
        <v>0</v>
      </c>
      <c r="AD131" s="10">
        <v>0</v>
      </c>
      <c r="AE131" s="10">
        <v>0</v>
      </c>
      <c r="AF131" s="12"/>
    </row>
    <row r="132" spans="6:32" x14ac:dyDescent="0.35">
      <c r="F132" s="9">
        <v>7</v>
      </c>
      <c r="G132" s="10" t="s">
        <v>73</v>
      </c>
      <c r="H132" s="10">
        <v>1</v>
      </c>
      <c r="I132" s="10">
        <v>13.8</v>
      </c>
      <c r="J132" s="10">
        <v>1.06328</v>
      </c>
      <c r="K132" s="10">
        <v>14.673</v>
      </c>
      <c r="L132" s="10">
        <v>-34.590000000000003</v>
      </c>
      <c r="M132" s="10"/>
      <c r="N132" s="10"/>
      <c r="O132" s="10">
        <v>0</v>
      </c>
      <c r="P132" s="10">
        <v>0</v>
      </c>
      <c r="Q132" s="10">
        <v>0</v>
      </c>
      <c r="R132" s="10">
        <v>0</v>
      </c>
      <c r="S132" s="10"/>
      <c r="T132" s="10">
        <v>0</v>
      </c>
      <c r="U132" s="10">
        <v>0</v>
      </c>
      <c r="V132" s="10">
        <v>1</v>
      </c>
      <c r="W132" s="10">
        <v>1</v>
      </c>
      <c r="X132" s="10"/>
      <c r="Y132" s="10">
        <v>7</v>
      </c>
      <c r="Z132" s="10" t="s">
        <v>73</v>
      </c>
      <c r="AA132" s="10">
        <v>1</v>
      </c>
      <c r="AB132" s="10" t="s">
        <v>11</v>
      </c>
      <c r="AC132" s="10">
        <v>0</v>
      </c>
      <c r="AD132" s="10">
        <v>0</v>
      </c>
      <c r="AE132" s="10">
        <v>0</v>
      </c>
      <c r="AF132" s="12"/>
    </row>
    <row r="133" spans="6:32" x14ac:dyDescent="0.35">
      <c r="F133" s="9">
        <v>8</v>
      </c>
      <c r="G133" s="10" t="s">
        <v>80</v>
      </c>
      <c r="H133" s="10">
        <v>1</v>
      </c>
      <c r="I133" s="10">
        <v>18</v>
      </c>
      <c r="J133" s="10">
        <v>1.0900000000000001</v>
      </c>
      <c r="K133" s="10">
        <v>19.62</v>
      </c>
      <c r="L133" s="10">
        <v>-34.590000000000003</v>
      </c>
      <c r="M133" s="10">
        <v>0</v>
      </c>
      <c r="N133" s="10">
        <v>25.39</v>
      </c>
      <c r="O133" s="10"/>
      <c r="P133" s="10"/>
      <c r="Q133" s="10"/>
      <c r="R133" s="10"/>
      <c r="S133" s="10"/>
      <c r="T133" s="10">
        <v>0</v>
      </c>
      <c r="U133" s="10">
        <v>0</v>
      </c>
      <c r="V133" s="10">
        <v>1</v>
      </c>
      <c r="W133" s="10">
        <v>1</v>
      </c>
      <c r="X133" s="10"/>
      <c r="Y133" s="10">
        <v>8</v>
      </c>
      <c r="Z133" s="10" t="s">
        <v>80</v>
      </c>
      <c r="AA133" s="10">
        <v>1</v>
      </c>
      <c r="AB133" s="10" t="s">
        <v>9</v>
      </c>
      <c r="AC133" s="10">
        <v>0</v>
      </c>
      <c r="AD133" s="10">
        <v>0</v>
      </c>
      <c r="AE133" s="10">
        <v>0</v>
      </c>
      <c r="AF133" s="12"/>
    </row>
    <row r="134" spans="6:32" x14ac:dyDescent="0.35">
      <c r="F134" s="9">
        <v>9</v>
      </c>
      <c r="G134" s="10" t="s">
        <v>72</v>
      </c>
      <c r="H134" s="10">
        <v>1</v>
      </c>
      <c r="I134" s="10">
        <v>13.8</v>
      </c>
      <c r="J134" s="10">
        <v>1.05453</v>
      </c>
      <c r="K134" s="10">
        <v>14.553000000000001</v>
      </c>
      <c r="L134" s="10">
        <v>-35.71</v>
      </c>
      <c r="M134" s="10"/>
      <c r="N134" s="10"/>
      <c r="O134" s="10">
        <v>29.5</v>
      </c>
      <c r="P134" s="10">
        <v>16.600000000000001</v>
      </c>
      <c r="Q134" s="10">
        <v>0</v>
      </c>
      <c r="R134" s="10">
        <v>0</v>
      </c>
      <c r="S134" s="10">
        <v>21.13</v>
      </c>
      <c r="T134" s="10">
        <v>0</v>
      </c>
      <c r="U134" s="10">
        <v>0</v>
      </c>
      <c r="V134" s="10">
        <v>1</v>
      </c>
      <c r="W134" s="10">
        <v>1</v>
      </c>
      <c r="X134" s="10"/>
      <c r="Y134" s="10">
        <v>9</v>
      </c>
      <c r="Z134" s="10" t="s">
        <v>72</v>
      </c>
      <c r="AA134" s="10">
        <v>1</v>
      </c>
      <c r="AB134" s="10" t="s">
        <v>11</v>
      </c>
      <c r="AC134" s="10">
        <v>0</v>
      </c>
      <c r="AD134" s="10">
        <v>0</v>
      </c>
      <c r="AE134" s="10">
        <v>0</v>
      </c>
      <c r="AF134" s="12"/>
    </row>
    <row r="135" spans="6:32" x14ac:dyDescent="0.35">
      <c r="F135" s="9">
        <v>10</v>
      </c>
      <c r="G135" s="10" t="s">
        <v>75</v>
      </c>
      <c r="H135" s="10">
        <v>1</v>
      </c>
      <c r="I135" s="10">
        <v>13.8</v>
      </c>
      <c r="J135" s="10">
        <v>1.0498499999999999</v>
      </c>
      <c r="K135" s="10">
        <v>14.488</v>
      </c>
      <c r="L135" s="10">
        <v>-35.89</v>
      </c>
      <c r="M135" s="10"/>
      <c r="N135" s="10"/>
      <c r="O135" s="10">
        <v>9</v>
      </c>
      <c r="P135" s="10">
        <v>5.8</v>
      </c>
      <c r="Q135" s="10">
        <v>0</v>
      </c>
      <c r="R135" s="10">
        <v>0</v>
      </c>
      <c r="S135" s="10"/>
      <c r="T135" s="10">
        <v>0</v>
      </c>
      <c r="U135" s="10">
        <v>0</v>
      </c>
      <c r="V135" s="10">
        <v>1</v>
      </c>
      <c r="W135" s="10">
        <v>1</v>
      </c>
      <c r="X135" s="10"/>
      <c r="Y135" s="10">
        <v>10</v>
      </c>
      <c r="Z135" s="10" t="s">
        <v>75</v>
      </c>
      <c r="AA135" s="10">
        <v>1</v>
      </c>
      <c r="AB135" s="10" t="s">
        <v>11</v>
      </c>
      <c r="AC135" s="10">
        <v>0</v>
      </c>
      <c r="AD135" s="10">
        <v>0</v>
      </c>
      <c r="AE135" s="10">
        <v>0</v>
      </c>
      <c r="AF135" s="12"/>
    </row>
    <row r="136" spans="6:32" x14ac:dyDescent="0.35">
      <c r="F136" s="9">
        <v>11</v>
      </c>
      <c r="G136" s="10" t="s">
        <v>82</v>
      </c>
      <c r="H136" s="10">
        <v>1</v>
      </c>
      <c r="I136" s="10">
        <v>13.8</v>
      </c>
      <c r="J136" s="10">
        <v>1.0563499999999999</v>
      </c>
      <c r="K136" s="10">
        <v>14.577999999999999</v>
      </c>
      <c r="L136" s="10">
        <v>-35.64</v>
      </c>
      <c r="M136" s="10"/>
      <c r="N136" s="10"/>
      <c r="O136" s="10">
        <v>3.5</v>
      </c>
      <c r="P136" s="10">
        <v>1.8</v>
      </c>
      <c r="Q136" s="10">
        <v>0</v>
      </c>
      <c r="R136" s="10">
        <v>0</v>
      </c>
      <c r="S136" s="10"/>
      <c r="T136" s="10">
        <v>0</v>
      </c>
      <c r="U136" s="10">
        <v>0</v>
      </c>
      <c r="V136" s="10">
        <v>1</v>
      </c>
      <c r="W136" s="10">
        <v>1</v>
      </c>
      <c r="X136" s="10"/>
      <c r="Y136" s="10">
        <v>11</v>
      </c>
      <c r="Z136" s="10" t="s">
        <v>82</v>
      </c>
      <c r="AA136" s="10">
        <v>1</v>
      </c>
      <c r="AB136" s="10" t="s">
        <v>11</v>
      </c>
      <c r="AC136" s="10">
        <v>0</v>
      </c>
      <c r="AD136" s="10">
        <v>0</v>
      </c>
      <c r="AE136" s="10">
        <v>0</v>
      </c>
      <c r="AF136" s="12"/>
    </row>
    <row r="137" spans="6:32" x14ac:dyDescent="0.35">
      <c r="F137" s="9">
        <v>12</v>
      </c>
      <c r="G137" s="10" t="s">
        <v>76</v>
      </c>
      <c r="H137" s="10">
        <v>1</v>
      </c>
      <c r="I137" s="10">
        <v>13.8</v>
      </c>
      <c r="J137" s="10">
        <v>1.0550600000000001</v>
      </c>
      <c r="K137" s="10">
        <v>14.56</v>
      </c>
      <c r="L137" s="10">
        <v>-35.979999999999997</v>
      </c>
      <c r="M137" s="10"/>
      <c r="N137" s="10"/>
      <c r="O137" s="10">
        <v>6.1</v>
      </c>
      <c r="P137" s="10">
        <v>1.6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1</v>
      </c>
      <c r="W137" s="10">
        <v>1</v>
      </c>
      <c r="X137" s="10"/>
      <c r="Y137" s="10">
        <v>12</v>
      </c>
      <c r="Z137" s="10" t="s">
        <v>76</v>
      </c>
      <c r="AA137" s="10">
        <v>1</v>
      </c>
      <c r="AB137" s="10" t="s">
        <v>11</v>
      </c>
      <c r="AC137" s="10">
        <v>0</v>
      </c>
      <c r="AD137" s="10">
        <v>0</v>
      </c>
      <c r="AE137" s="10">
        <v>0</v>
      </c>
      <c r="AF137" s="12"/>
    </row>
    <row r="138" spans="6:32" x14ac:dyDescent="0.35">
      <c r="F138" s="9">
        <v>13</v>
      </c>
      <c r="G138" s="10" t="s">
        <v>78</v>
      </c>
      <c r="H138" s="10">
        <v>1</v>
      </c>
      <c r="I138" s="10">
        <v>13.8</v>
      </c>
      <c r="J138" s="10">
        <v>1.0502</v>
      </c>
      <c r="K138" s="10">
        <v>14.493</v>
      </c>
      <c r="L138" s="10">
        <v>-36.049999999999997</v>
      </c>
      <c r="M138" s="10"/>
      <c r="N138" s="10"/>
      <c r="O138" s="10">
        <v>13.5</v>
      </c>
      <c r="P138" s="10">
        <v>5.8</v>
      </c>
      <c r="Q138" s="10">
        <v>0</v>
      </c>
      <c r="R138" s="10">
        <v>0</v>
      </c>
      <c r="S138" s="10"/>
      <c r="T138" s="10">
        <v>0</v>
      </c>
      <c r="U138" s="10">
        <v>0</v>
      </c>
      <c r="V138" s="10">
        <v>1</v>
      </c>
      <c r="W138" s="10">
        <v>1</v>
      </c>
      <c r="X138" s="10"/>
      <c r="Y138" s="10">
        <v>13</v>
      </c>
      <c r="Z138" s="10" t="s">
        <v>78</v>
      </c>
      <c r="AA138" s="10">
        <v>1</v>
      </c>
      <c r="AB138" s="10" t="s">
        <v>11</v>
      </c>
      <c r="AC138" s="10">
        <v>0</v>
      </c>
      <c r="AD138" s="10">
        <v>0</v>
      </c>
      <c r="AE138" s="10">
        <v>0</v>
      </c>
      <c r="AF138" s="12"/>
    </row>
    <row r="139" spans="6:32" x14ac:dyDescent="0.35">
      <c r="F139" s="9">
        <v>14</v>
      </c>
      <c r="G139" s="10" t="s">
        <v>81</v>
      </c>
      <c r="H139" s="10">
        <v>1</v>
      </c>
      <c r="I139" s="10">
        <v>13.8</v>
      </c>
      <c r="J139" s="10">
        <v>1.0346500000000001</v>
      </c>
      <c r="K139" s="10">
        <v>14.278</v>
      </c>
      <c r="L139" s="10">
        <v>-36.86</v>
      </c>
      <c r="M139" s="10"/>
      <c r="N139" s="10"/>
      <c r="O139" s="10">
        <v>14.9</v>
      </c>
      <c r="P139" s="10">
        <v>5</v>
      </c>
      <c r="Q139" s="10">
        <v>0</v>
      </c>
      <c r="R139" s="10">
        <v>0</v>
      </c>
      <c r="S139" s="10"/>
      <c r="T139" s="10">
        <v>0</v>
      </c>
      <c r="U139" s="10">
        <v>0</v>
      </c>
      <c r="V139" s="10">
        <v>1</v>
      </c>
      <c r="W139" s="10">
        <v>1</v>
      </c>
      <c r="X139" s="10"/>
      <c r="Y139" s="10">
        <v>14</v>
      </c>
      <c r="Z139" s="10" t="s">
        <v>81</v>
      </c>
      <c r="AA139" s="10">
        <v>1</v>
      </c>
      <c r="AB139" s="10" t="s">
        <v>11</v>
      </c>
      <c r="AC139" s="10">
        <v>0</v>
      </c>
      <c r="AD139" s="10">
        <v>0</v>
      </c>
      <c r="AE139" s="10">
        <v>0</v>
      </c>
      <c r="AF139" s="12"/>
    </row>
    <row r="140" spans="6:32" ht="15" thickBot="1" x14ac:dyDescent="0.4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Bus</vt:lpstr>
      <vt:lpstr>Generators</vt:lpstr>
      <vt:lpstr>Branches</vt:lpstr>
      <vt:lpstr>Shunt capacitors</vt:lpstr>
      <vt:lpstr>PF results (NR)</vt:lpstr>
      <vt:lpstr>Sensitività</vt:lpstr>
      <vt:lpstr>Capacitors</vt:lpstr>
      <vt:lpstr>Iterazioni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Nebuloni</dc:creator>
  <cp:lastModifiedBy>Edoardo Broetto</cp:lastModifiedBy>
  <dcterms:created xsi:type="dcterms:W3CDTF">2015-06-05T18:19:34Z</dcterms:created>
  <dcterms:modified xsi:type="dcterms:W3CDTF">2025-11-14T11:30:16Z</dcterms:modified>
</cp:coreProperties>
</file>